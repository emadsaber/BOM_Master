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\Sewedy Electrometer\BOM Master\Emad input files\Formatted file\"/>
    </mc:Choice>
  </mc:AlternateContent>
  <bookViews>
    <workbookView xWindow="0" yWindow="0" windowWidth="20490" windowHeight="7755" activeTab="1"/>
  </bookViews>
  <sheets>
    <sheet name="Production_Materials" sheetId="7" r:id="rId1"/>
    <sheet name="BOM" sheetId="6" r:id="rId2"/>
  </sheets>
  <externalReferences>
    <externalReference r:id="rId3"/>
  </externalReferences>
  <definedNames>
    <definedName name="_xlnm._FilterDatabase" localSheetId="1" hidden="1">BOM!$A$9:$K$160</definedName>
    <definedName name="accuracy">#REF!</definedName>
    <definedName name="base">#REF!</definedName>
    <definedName name="covercolor">#REF!</definedName>
    <definedName name="FREQENCY">[1]Sheet1!$A$191:$A$192</definedName>
    <definedName name="frequency">#REF!</definedName>
    <definedName name="IB">#REF!</definedName>
    <definedName name="Ibase">[1]Sheet1!$A$42:$A$62</definedName>
    <definedName name="IEC">[1]Sheet1!$A$187:$A$188</definedName>
    <definedName name="IMAX">#REF!</definedName>
    <definedName name="IMAXM">[1]Sheet1!$B$42:$B$82</definedName>
    <definedName name="LCDcount">#REF!</definedName>
    <definedName name="LCDdirection">#REF!</definedName>
    <definedName name="LCDlang">#REF!</definedName>
    <definedName name="LCDrate">#REF!</definedName>
    <definedName name="nameplat">#REF!</definedName>
    <definedName name="phase">[1]Sheet1!$B$87:$B$106</definedName>
    <definedName name="Phasenut">#REF!</definedName>
    <definedName name="PhasePhase">#REF!</definedName>
    <definedName name="PHNUT">[1]Sheet1!$A$87:$A$106</definedName>
    <definedName name="powerconn">#REF!</definedName>
    <definedName name="powermeas">[1]Sheet1!$A$135:$A$136</definedName>
    <definedName name="powermeasure">#REF!</definedName>
    <definedName name="_xlnm.Print_Area" localSheetId="1">BOM!$A$1:$K$221</definedName>
    <definedName name="_xlnm.Print_Titles" localSheetId="1">BOM!$1:$9</definedName>
    <definedName name="regcount">[1]Sheet1!$A$144:$A$149</definedName>
    <definedName name="regdirc">[1]Sheet1!$A$152:$A$153</definedName>
    <definedName name="reglang">[1]Sheet1!$A$140:$A$141</definedName>
    <definedName name="regrate">[1]Sheet1!$A$183:$A$184</definedName>
    <definedName name="Ter.diameter">[1]Sheet1!$A$120:$A$128</definedName>
    <definedName name="terminalcmat">#REF!</definedName>
    <definedName name="terminalctype">#REF!</definedName>
    <definedName name="terminaldiam">#REF!</definedName>
    <definedName name="TRcovermat">[1]Sheet1!$A$160:$A$161</definedName>
    <definedName name="TRcovertype">[1]Sheet1!$A$156:$A$157</definedName>
    <definedName name="vollink">[1]Sheet1!$A$174:$A$176</definedName>
    <definedName name="wireno">#REF!</definedName>
    <definedName name="wireno.">[1]Sheet1!$A$115:$A$117</definedName>
  </definedNames>
  <calcPr calcId="152511"/>
</workbook>
</file>

<file path=xl/calcChain.xml><?xml version="1.0" encoding="utf-8"?>
<calcChain xmlns="http://schemas.openxmlformats.org/spreadsheetml/2006/main">
  <c r="A6" i="7" l="1"/>
  <c r="A7" i="7" s="1"/>
  <c r="A8" i="7" s="1"/>
  <c r="A9" i="7" s="1"/>
  <c r="A11" i="6" l="1"/>
  <c r="A12" i="6" s="1"/>
  <c r="A13" i="6" l="1"/>
  <c r="A14" i="6" s="1"/>
  <c r="A15" i="6" s="1"/>
  <c r="A16" i="6" s="1"/>
  <c r="A17" i="6" s="1"/>
  <c r="A18" i="6" s="1"/>
  <c r="A19" i="6" s="1"/>
  <c r="A20" i="6" s="1"/>
  <c r="A21" i="6" l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l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l="1"/>
  <c r="A185" i="6" s="1"/>
  <c r="A186" i="6" s="1"/>
  <c r="A187" i="6" s="1"/>
  <c r="A188" i="6" l="1"/>
  <c r="A189" i="6" s="1"/>
  <c r="A190" i="6" s="1"/>
  <c r="A191" i="6" s="1"/>
  <c r="A192" i="6" s="1"/>
  <c r="A193" i="6" s="1"/>
  <c r="A194" i="6" s="1"/>
  <c r="A195" i="6" s="1"/>
  <c r="A196" i="6" s="1"/>
  <c r="A197" i="6" s="1"/>
</calcChain>
</file>

<file path=xl/sharedStrings.xml><?xml version="1.0" encoding="utf-8"?>
<sst xmlns="http://schemas.openxmlformats.org/spreadsheetml/2006/main" count="1481" uniqueCount="748">
  <si>
    <t>SN</t>
  </si>
  <si>
    <t>Sewedy Part Number</t>
  </si>
  <si>
    <t>UOM</t>
  </si>
  <si>
    <t>QPJ</t>
  </si>
  <si>
    <t>Supplier Part Number</t>
  </si>
  <si>
    <t>Part Ref</t>
  </si>
  <si>
    <t>Supplier</t>
  </si>
  <si>
    <t>CODE</t>
  </si>
  <si>
    <t xml:space="preserve">Made By </t>
  </si>
  <si>
    <t xml:space="preserve">Approved By </t>
  </si>
  <si>
    <t xml:space="preserve">Date </t>
  </si>
  <si>
    <t xml:space="preserve">Revision History </t>
  </si>
  <si>
    <t>Rev</t>
  </si>
  <si>
    <t xml:space="preserve">Description </t>
  </si>
  <si>
    <t xml:space="preserve"> File Name </t>
  </si>
  <si>
    <t>Issuing/Reviewing No.: 1/0</t>
  </si>
  <si>
    <r>
      <t xml:space="preserve"> El Sewedy  Electrometer Egypt S.E.A </t>
    </r>
    <r>
      <rPr>
        <b/>
        <vertAlign val="subscript"/>
        <sz val="16"/>
        <rFont val="Times New Roman"/>
        <family val="1"/>
      </rPr>
      <t>Engineering  Dept.</t>
    </r>
  </si>
  <si>
    <t>Bill Of Materials (BOM)</t>
  </si>
  <si>
    <r>
      <t xml:space="preserve">  شركة السويدى اليكتروميتر مصر ش.م.م</t>
    </r>
    <r>
      <rPr>
        <b/>
        <vertAlign val="subscript"/>
        <sz val="18"/>
        <rFont val="Times New Roman"/>
        <family val="1"/>
      </rPr>
      <t xml:space="preserve"> الادارة الهندسية</t>
    </r>
  </si>
  <si>
    <t>Issuing date: 16/10/2008</t>
  </si>
  <si>
    <t>Code: EN-F-03</t>
  </si>
  <si>
    <t>SMD Resistors</t>
  </si>
  <si>
    <t>Diodes</t>
  </si>
  <si>
    <t>Leds</t>
  </si>
  <si>
    <t>Transistor</t>
  </si>
  <si>
    <t>ICS</t>
  </si>
  <si>
    <t>R43</t>
  </si>
  <si>
    <t>U3</t>
  </si>
  <si>
    <t>LCD1</t>
  </si>
  <si>
    <t>LCD</t>
  </si>
  <si>
    <t>crystal</t>
  </si>
  <si>
    <t>switches</t>
  </si>
  <si>
    <t>EA</t>
  </si>
  <si>
    <t>SS14</t>
  </si>
  <si>
    <t>R4</t>
  </si>
  <si>
    <t>optical</t>
  </si>
  <si>
    <t>CS0046</t>
  </si>
  <si>
    <t>DI0024</t>
  </si>
  <si>
    <t>LD0001</t>
  </si>
  <si>
    <t>TT0001</t>
  </si>
  <si>
    <t>RC0001</t>
  </si>
  <si>
    <t>TR0003</t>
  </si>
  <si>
    <t>TR0004</t>
  </si>
  <si>
    <t>R31</t>
  </si>
  <si>
    <t>U1</t>
  </si>
  <si>
    <t xml:space="preserve">Date of change </t>
  </si>
  <si>
    <t>Issuing date</t>
  </si>
  <si>
    <t>R29</t>
  </si>
  <si>
    <t>R37</t>
  </si>
  <si>
    <t>VARISTOR</t>
  </si>
  <si>
    <t>C49</t>
  </si>
  <si>
    <t>STTH1R06A</t>
  </si>
  <si>
    <t>U4</t>
  </si>
  <si>
    <t>U5</t>
  </si>
  <si>
    <t>U6</t>
  </si>
  <si>
    <t>IC MCU 16BIT 32KB FLASH 1KB RAM 64LQFP RATING 2.7-3.6V</t>
  </si>
  <si>
    <t>IC OFFLINE SWIT PWM SMPS 8SOIC RATING 85-265VAC</t>
  </si>
  <si>
    <t>IC VREG ADJ MICRPWR 8-SOIC RATING 2.3-30V</t>
  </si>
  <si>
    <t>IC EEPROM 256KBIT Narrow SOIC-8 RATING 1.7-5.5V</t>
  </si>
  <si>
    <t>ZENER DIODES</t>
  </si>
  <si>
    <t>ZD3</t>
  </si>
  <si>
    <t>ZD4</t>
  </si>
  <si>
    <t>Q6</t>
  </si>
  <si>
    <t>Q1</t>
  </si>
  <si>
    <t>Buzzer</t>
  </si>
  <si>
    <t>P1</t>
  </si>
  <si>
    <t>L9</t>
  </si>
  <si>
    <t>COILS</t>
  </si>
  <si>
    <t>BATTERY</t>
  </si>
  <si>
    <t>SMD Resistor</t>
  </si>
  <si>
    <t>SMD Capacitors</t>
  </si>
  <si>
    <t>R5</t>
  </si>
  <si>
    <t>Heder</t>
  </si>
  <si>
    <t>X1</t>
  </si>
  <si>
    <t>INDUCTOR</t>
  </si>
  <si>
    <t xml:space="preserve">CRYSTAL </t>
  </si>
  <si>
    <t>J1</t>
  </si>
  <si>
    <t>RT0061</t>
  </si>
  <si>
    <t>DI0029</t>
  </si>
  <si>
    <t>IC0035</t>
  </si>
  <si>
    <t>IC0036</t>
  </si>
  <si>
    <t>IC0037</t>
  </si>
  <si>
    <t>IC0039</t>
  </si>
  <si>
    <t>CL0007</t>
  </si>
  <si>
    <t>CL0013</t>
  </si>
  <si>
    <t>IC0026</t>
  </si>
  <si>
    <t>QC0006</t>
  </si>
  <si>
    <t>IC0040</t>
  </si>
  <si>
    <t>IC0042</t>
  </si>
  <si>
    <t xml:space="preserve">Eng.Ayman Aboelela </t>
  </si>
  <si>
    <t>MAIN BOARD</t>
  </si>
  <si>
    <t>DL4007</t>
  </si>
  <si>
    <t>SW1</t>
  </si>
  <si>
    <t>YQD100N1000</t>
  </si>
  <si>
    <t>R70</t>
  </si>
  <si>
    <t>G1_2</t>
  </si>
  <si>
    <t>G1_1</t>
  </si>
  <si>
    <t xml:space="preserve">PCB </t>
  </si>
  <si>
    <t>VARTA</t>
  </si>
  <si>
    <t>RT0026</t>
  </si>
  <si>
    <t>RT0014</t>
  </si>
  <si>
    <t>RT0017</t>
  </si>
  <si>
    <t>RT0156</t>
  </si>
  <si>
    <t>RT0001</t>
  </si>
  <si>
    <t>RT0020</t>
  </si>
  <si>
    <t>RT0018</t>
  </si>
  <si>
    <t>RT0004</t>
  </si>
  <si>
    <t>PR0006</t>
  </si>
  <si>
    <t>CS0087</t>
  </si>
  <si>
    <t>DI0010</t>
  </si>
  <si>
    <t>IC0005</t>
  </si>
  <si>
    <t>DI0018</t>
  </si>
  <si>
    <t>QC0003</t>
  </si>
  <si>
    <t>BZ0002</t>
  </si>
  <si>
    <t>CN0002</t>
  </si>
  <si>
    <t>SWITCH REED MAG SPST MLRR3</t>
  </si>
  <si>
    <t>SW0001</t>
  </si>
  <si>
    <t>SW0013</t>
  </si>
  <si>
    <t>CL0014</t>
  </si>
  <si>
    <t>BT0005</t>
  </si>
  <si>
    <t>smart card</t>
  </si>
  <si>
    <t>D9</t>
  </si>
  <si>
    <t>MSP430FE427A</t>
  </si>
  <si>
    <t>VARTA CR 1/2 AA WC with battery connector+2 wire for battery(soldered in it)</t>
  </si>
  <si>
    <t>CS0095</t>
  </si>
  <si>
    <t>ECN</t>
  </si>
  <si>
    <t>VIPer12ASTR</t>
  </si>
  <si>
    <t>LP2951DR</t>
  </si>
  <si>
    <t>LP2981-33DBVR</t>
  </si>
  <si>
    <t>HQ30729</t>
  </si>
  <si>
    <t>CD0009</t>
  </si>
  <si>
    <t>English LCD</t>
  </si>
  <si>
    <t>RT0027</t>
  </si>
  <si>
    <t>R16</t>
  </si>
  <si>
    <t>RT0203</t>
  </si>
  <si>
    <t>CS0148</t>
  </si>
  <si>
    <t>C24</t>
  </si>
  <si>
    <t>C25</t>
  </si>
  <si>
    <t>CS0149</t>
  </si>
  <si>
    <t>SMD Coils</t>
  </si>
  <si>
    <t>L3</t>
  </si>
  <si>
    <t>CL0016</t>
  </si>
  <si>
    <t>L2</t>
  </si>
  <si>
    <t>SMD Diodes</t>
  </si>
  <si>
    <t>DI0026</t>
  </si>
  <si>
    <t>STPS2L25U</t>
  </si>
  <si>
    <t>D7</t>
  </si>
  <si>
    <t>DI0035</t>
  </si>
  <si>
    <t>D10</t>
  </si>
  <si>
    <t>DI0036</t>
  </si>
  <si>
    <t>uClamp0501H</t>
  </si>
  <si>
    <t>DI0061</t>
  </si>
  <si>
    <t>DN1</t>
  </si>
  <si>
    <t>SMD Transistors</t>
  </si>
  <si>
    <t>TR0012</t>
  </si>
  <si>
    <t>SMD Ics</t>
  </si>
  <si>
    <t>IC0034</t>
  </si>
  <si>
    <t>STM8L162M8</t>
  </si>
  <si>
    <t>U2</t>
  </si>
  <si>
    <t>IC0029</t>
  </si>
  <si>
    <t>IC0048</t>
  </si>
  <si>
    <t>UA78M33CDCYR</t>
  </si>
  <si>
    <t>RS485 Line Driver/Receiver shape SOIC-8 T coeffeient -40 to 85 °C.</t>
  </si>
  <si>
    <t>IC0062</t>
  </si>
  <si>
    <t>SIM900</t>
  </si>
  <si>
    <t>M1</t>
  </si>
  <si>
    <t>Connectors</t>
  </si>
  <si>
    <t>J8</t>
  </si>
  <si>
    <t>Antenna</t>
  </si>
  <si>
    <t>J10</t>
  </si>
  <si>
    <t>Electrolytic Cap</t>
  </si>
  <si>
    <t>HD0046</t>
  </si>
  <si>
    <t>Meter Specifications :-   Ghana Accra 1 Ph RFID GPRS with long terminal cover</t>
  </si>
  <si>
    <t>CN0053</t>
  </si>
  <si>
    <t>MODEM Board</t>
  </si>
  <si>
    <t>SMAJ4742A</t>
  </si>
  <si>
    <t>SMAJ4745A</t>
  </si>
  <si>
    <t>SMD LED</t>
  </si>
  <si>
    <t>LD1</t>
  </si>
  <si>
    <t>LD0018</t>
  </si>
  <si>
    <t>SMD Visable Light LEDS Red 0805</t>
  </si>
  <si>
    <t>SMD Caps</t>
  </si>
  <si>
    <t>CS0104</t>
  </si>
  <si>
    <t>C19</t>
  </si>
  <si>
    <t>R2</t>
  </si>
  <si>
    <t>THD Caps</t>
  </si>
  <si>
    <t>Right Angle Pin header 2X2</t>
  </si>
  <si>
    <t>RT0204</t>
  </si>
  <si>
    <t>MF-USMF010-2</t>
  </si>
  <si>
    <t>Crystals</t>
  </si>
  <si>
    <t>DI0068</t>
  </si>
  <si>
    <t>DI0090</t>
  </si>
  <si>
    <t>HD0056</t>
  </si>
  <si>
    <t>CL0023</t>
  </si>
  <si>
    <t>22R105C</t>
  </si>
  <si>
    <t>CN0036</t>
  </si>
  <si>
    <t>Header</t>
  </si>
  <si>
    <t>DI0027</t>
  </si>
  <si>
    <t>KDZ4.3B</t>
  </si>
  <si>
    <t>D8</t>
  </si>
  <si>
    <t>SKU:- EM101- 4SmartG-01</t>
  </si>
  <si>
    <t>No. of pages : 4</t>
  </si>
  <si>
    <t>27.12MHz +/- 20 pmm</t>
  </si>
  <si>
    <t>Quartz Crystal 27.12MHz Load Capacitance 10pF - Shape- HS49US- +/- 20 pmm</t>
  </si>
  <si>
    <t>C14</t>
  </si>
  <si>
    <t>CS0013</t>
  </si>
  <si>
    <t>CS0014</t>
  </si>
  <si>
    <t>CS0306</t>
  </si>
  <si>
    <t>CS0160</t>
  </si>
  <si>
    <t>CS0315</t>
  </si>
  <si>
    <t>CS0311</t>
  </si>
  <si>
    <t>RT0019</t>
  </si>
  <si>
    <t>RT0015</t>
  </si>
  <si>
    <t>RT0394</t>
  </si>
  <si>
    <t>RT0054</t>
  </si>
  <si>
    <t>VS0005</t>
  </si>
  <si>
    <t>RT0400</t>
  </si>
  <si>
    <t>R1 R32 R54</t>
  </si>
  <si>
    <t>R2 R3 R4 R21 R22 R27 R30 R33 R63</t>
  </si>
  <si>
    <t>R8 R24 R25 R26 R41 R42 R45 R47 R53 R55 R58 R64</t>
  </si>
  <si>
    <t>R9 R13 R50 R62</t>
  </si>
  <si>
    <t>R14 R15 R16 R34</t>
  </si>
  <si>
    <t>R19 R20</t>
  </si>
  <si>
    <t>R59 R61</t>
  </si>
  <si>
    <t>Thick Film Resistor MCR Series, 100KOhm, Tol. ±1%, Power 0.125W, Vlimit 150V, 0805, Temp. Range -55°C~155°C, Temp. Coef. ±100ppm/°C</t>
  </si>
  <si>
    <t>Thick Film Resistor MCR Series, 10KOhm, Tol. ±1%, Power 0.125W, Vlimit 150V, 0805, Temp. Range -55°C~155°C, Temp. Coef. ±100ppm/°C</t>
  </si>
  <si>
    <t>Thick Film Resistor MCR Series, 1KOhm, Tol. ±1%, Power 0.125W, Vlimit 150V, 0805, Temp. Range -55°C~155°C, Temp. Coef. ±100ppm/°C</t>
  </si>
  <si>
    <t>Thick Film Resistor MCR Series, 100Ohm, Tol. ±1%, Power 0.125W, Vlimit 150V, 0805, Temp. Range -55°C~155°C, Temp. Coef. ±100ppm/°C</t>
  </si>
  <si>
    <t>Thick Film Resistor ESR Series, 499KOhm, Tol. ±1%, Power 0.5W, Vlimit 200V, 1210, Temp. Range -55°C~155°C, Temp. Coef. ±100ppm/°C</t>
  </si>
  <si>
    <t>Thick Film Resistor MCR Series, 330Ohm, Tol. ±5%, Power 0.125W, Vlimit 150V, 0805, Temp. Range -55°C~155°C, Temp. Coef. ±200ppm/°C</t>
  </si>
  <si>
    <t>Thick Film Resistor MCR Series, 10Ohm, Tol. ±5%, Power 0.125W, Vlimit 150V, 0805, Temp. Range -55°C~155°C, Temp. Coef. ±200ppm/°C</t>
  </si>
  <si>
    <t>Varistor UltraMOV Series Vnominal 460VRMS/615VDC, Energy 180J, Peak Current 6000A/4500A, Clamping 1240V/50A, Capacitance 220pF, Package Through hole Disc 14mm P6.5mm</t>
  </si>
  <si>
    <t>Thick Film Resistor MCR Series, 1.5KOhm, Tol. ±1%, Power 0.125W, Vlimit 150V, 0805, Temp. Range -55°C~155°C, Temp. Coef. ±100ppm/°C</t>
  </si>
  <si>
    <t>Thick Film Resistor ESR Series, 1.4Ohm, Tol. ±1%, Power 0.4W, Vlimit 150V, 0805, Temp. Range -55°C~155°C, Temp. Coef. ±100ppm/°C</t>
  </si>
  <si>
    <t>MCR10ERTF1003</t>
  </si>
  <si>
    <t>MCR10ERTF1002</t>
  </si>
  <si>
    <t>MCR10ERTF1001</t>
  </si>
  <si>
    <t>MCR10ERTF1000</t>
  </si>
  <si>
    <t>ESR25JZPF4993</t>
  </si>
  <si>
    <t>MCR10ERTJ331</t>
  </si>
  <si>
    <t>MCR10ERTJ100</t>
  </si>
  <si>
    <t>MCR10ERTF1501</t>
  </si>
  <si>
    <t>ESR10EZPF1R40</t>
  </si>
  <si>
    <t>ROHM</t>
  </si>
  <si>
    <t>Littlefuse</t>
  </si>
  <si>
    <t>Varistor</t>
  </si>
  <si>
    <t>CS0300</t>
  </si>
  <si>
    <t>CS0113</t>
  </si>
  <si>
    <t>CS0387</t>
  </si>
  <si>
    <t>CS0155</t>
  </si>
  <si>
    <t>CS0242</t>
  </si>
  <si>
    <t>CS0390</t>
  </si>
  <si>
    <t>CS0033</t>
  </si>
  <si>
    <t>C1 C3 C21 C29 C30 C43 C46 C47 C61</t>
  </si>
  <si>
    <t>C2 C4 C49</t>
  </si>
  <si>
    <t>C5</t>
  </si>
  <si>
    <t>C6 C7 C8 C9 C10 C11 C28 C32 C33 C36 C37 C48 C51 C59 C60 C62</t>
  </si>
  <si>
    <t>C12 C27 C50 CF2</t>
  </si>
  <si>
    <t>C16</t>
  </si>
  <si>
    <t>C17</t>
  </si>
  <si>
    <t>C20 C22 C23 C24 C25 C26</t>
  </si>
  <si>
    <t>C31 C38 C57 C58</t>
  </si>
  <si>
    <t>C44 C45</t>
  </si>
  <si>
    <t>Ceramic Capacitor C Series, 100nF, Tol. K, 50V, 0805, X7R, Temp. Coef. ±15%</t>
  </si>
  <si>
    <t>Ceramic Capacitor CL Series, 10uF, Tol. K, 25V, 0805, X5R, Temp. Coef. ±15%</t>
  </si>
  <si>
    <t>Ceramic Capacitor -- Series, 2.2nF, Tol. K, 25V, 0805, X7R, Temp. Coef. ±15%</t>
  </si>
  <si>
    <t xml:space="preserve">Ceramic Capacitor CL Series, 10nF, Tol. K, 50V, 0805, X7R, Temp. Coef. ±15% </t>
  </si>
  <si>
    <t>Electrolytic Capacitor LZA Series, 470uF, Tol. ±20%, 25V, Radial D10mmXH12.5mmXP5mm -40°C~105°C, Reliability 4000Hrs@105°C, DF 0.14@120Hz@20°C, ESR 63mOhm@100KHz@20°C, Iripple 0.96A@100KHz@105°C, ILEAK 117.5uA@25V@20°C</t>
  </si>
  <si>
    <t>Tantalum Capacitor TAJ Series, 10uF, Tol. M, 25V, Case C, -55°C~125°C, Rliability 1% per 1000Hrs@85°C, DF 0.06@120Hz@25°C, ESR 1.8Ohm@100KHz@25°C, Iripple --A@100KHz@85°C, ILEAK --A@25V@25°C</t>
  </si>
  <si>
    <t>Electrolytic Capacitor KZN Series, 47uF, Tol. ±20%, 35V, Radial D5mmXH11mmXP2mm -40°C~105°C, Reliability 7000Hrs@105°C, DF 0.12@120Hz@20°C, ESR 0.38Ohm@100KHz@20°C, Iripple 450mA@100KHz@105°C, ILEAK 16.45uA@35V@20°C</t>
  </si>
  <si>
    <t>Ceramic Capacitor C Series, 1uF, Tol. K, 50V, 0805, X7R, Temp. Coef. ±15%</t>
  </si>
  <si>
    <t xml:space="preserve">Ceramic Capacitor -- Series, 33nF, Tol. J, 50V, 0805, C0G, Temp. Coef. ±30ppm/°C </t>
  </si>
  <si>
    <t>X2 Film Capacitor R46 Series, 0.01uF, Tol. ±10%, 275VAC@50/60Hz, 560VDC, Radial  W4mmXH9mmXL13mmXP10mm, -40°C~110°C, DF 0.001@1KHz@25°C, dV/dt 500V/</t>
  </si>
  <si>
    <t>Electrolytic Capacitor KXG Series, 10uF, Tol. ±20%, 400V, Radial D10mmXH20mmXP5mm -40°C~105°C, Reliability 8000Hrs@105°C, DF 0.24@120Hz@20°C, ESR --Ohm@100KHz@20°C, Iripple 275mA@100KHz@105°C, ILEAK 105uA@400V@20°C</t>
  </si>
  <si>
    <t>46KF210000N0K</t>
  </si>
  <si>
    <t>C2012X7R1H104K085AA</t>
  </si>
  <si>
    <t>CL21A106KAYNNNE</t>
  </si>
  <si>
    <t>C0805C222K3RACTU</t>
  </si>
  <si>
    <t>CL21B103KBCNNN</t>
  </si>
  <si>
    <t>ELZA250ELL471MJC5S</t>
  </si>
  <si>
    <t>TAJC106M025RNJ</t>
  </si>
  <si>
    <t>C2012X7R1H105K085AC</t>
  </si>
  <si>
    <t>C0805C333J5GACTU</t>
  </si>
  <si>
    <t>EKXG401ELL100MJ20S</t>
  </si>
  <si>
    <t>TDK</t>
  </si>
  <si>
    <t>SAMSUNG</t>
  </si>
  <si>
    <t>KEMET</t>
  </si>
  <si>
    <t>United Chemi-Con</t>
  </si>
  <si>
    <t>AVX</t>
  </si>
  <si>
    <t>Kemet</t>
  </si>
  <si>
    <t>Electrolytic Capacitor</t>
  </si>
  <si>
    <t>X2 Film Capacitor</t>
  </si>
  <si>
    <t>DI0103</t>
  </si>
  <si>
    <t xml:space="preserve"> DIODES</t>
  </si>
  <si>
    <t>D1 D7 D11</t>
  </si>
  <si>
    <t>D8 D15 D17</t>
  </si>
  <si>
    <t>D14 D16 D23</t>
  </si>
  <si>
    <t>DV2 DV4 DV5</t>
  </si>
  <si>
    <t>DX12 DX13</t>
  </si>
  <si>
    <t>Schottky Diode, If 30mA, Vr 30V, Vf 0.28V@1mA@25°C, Ir 300nA@30V@25°C, Trr --ns, Package SOD-323</t>
  </si>
  <si>
    <t>Ultra-Fast Diode, If 1A, Vr 600V, Vf 1.7V@1A@25°C, Ir 1uA@600V@25°C, Trr 30ns, Package SMA</t>
  </si>
  <si>
    <t>General-Purpose Diode, If 1A, Vr 1000V, Vf 1.1V@1A@25°C, Ir 5uA@1000V@25°C, Trr --ns, Package MELF (DL-41)</t>
  </si>
  <si>
    <t>TVS Bi-directional, Vstandoff 6V, Ileak 800uA@Vstandoff, Ipeak 38.8A, Ppeak 400W, Psteady 1W, Package SMA</t>
  </si>
  <si>
    <t>Schottky Diode, If 1A, Vr 40V, Vf 0.5V@1A@25°C, Ir 200uA@40V@25°C, Trr --ns, Package DO-214AC</t>
  </si>
  <si>
    <t>SMAJ6.0CA-13-F</t>
  </si>
  <si>
    <t>RB751V40T1G</t>
  </si>
  <si>
    <t>ON Semiconductor</t>
  </si>
  <si>
    <t>ST</t>
  </si>
  <si>
    <t>Diodes Inc</t>
  </si>
  <si>
    <t>Fairchild</t>
  </si>
  <si>
    <t>ZENER DIODE</t>
  </si>
  <si>
    <t>Zener Diode, Vz 12V, Iz 21mmA, Power 1W, Ileak 5uA@9.1V@25°C, Package DO-214AC</t>
  </si>
  <si>
    <t>Zener Diode, Vz 16V, Iz 15.5mmA, Power 1W, Ileak 5uA@12.2V@25°C, Package DO-214AC</t>
  </si>
  <si>
    <t>Micro Commercial Components</t>
  </si>
  <si>
    <t>IC MUX/DEMUX TRIPLE 2X1 16TSSOP</t>
  </si>
  <si>
    <t>AT24C256C-SSUL-T</t>
  </si>
  <si>
    <t>CD74HC4053PWR</t>
  </si>
  <si>
    <t>Texas Instruments</t>
  </si>
  <si>
    <t>STMicroelectronics</t>
  </si>
  <si>
    <t>Atmel</t>
  </si>
  <si>
    <t>LED3</t>
  </si>
  <si>
    <t>IR91-21C/TR10</t>
  </si>
  <si>
    <t>Everlight</t>
  </si>
  <si>
    <t>Q2</t>
  </si>
  <si>
    <t>PT91-21B/TR10</t>
  </si>
  <si>
    <t>LED1 LED2</t>
  </si>
  <si>
    <t>SMD Visable Light LEDS Red , White plastic T coeffeient  ( 80 °C )</t>
  </si>
  <si>
    <t>Q5 Q7 Q8 Q9 Q10 Q11</t>
  </si>
  <si>
    <t>NPN Transistor, Icmax 1A, HFEmin 100@IC=250mA@VCE=10V, Power 500mW, VCEmax 100V, fT 150MHz, Package SOT23</t>
  </si>
  <si>
    <t>PNP Transistor, Icmax -1A, HFEmin 100@IC=-500mA@VCE=-5V, Power 500mW, VCEmax -100V, fT 50MHz, Package SOT23</t>
  </si>
  <si>
    <t>FMMT493TA</t>
  </si>
  <si>
    <t xml:space="preserve">FMMT593TA </t>
  </si>
  <si>
    <t>SW_SCRN1</t>
  </si>
  <si>
    <t>SW_CASE1 SW_COVER1</t>
  </si>
  <si>
    <t>DPDT NON LOCK mechanical switch</t>
  </si>
  <si>
    <t/>
  </si>
  <si>
    <t>TL2203OA</t>
  </si>
  <si>
    <t>E-SWITCH</t>
  </si>
  <si>
    <t>Quartz Crystal -DT38 - 32.768KHz / 12.5PF Shape- Cylinde-  T coeffeient  ( 80 °C )</t>
  </si>
  <si>
    <t>Peizo Electric  crystal, 12V, 30mA Buzzer 12.5mm diameter, 8mm pitch</t>
  </si>
  <si>
    <t>L3 L4 L15 L16</t>
  </si>
  <si>
    <t>L9 L10 L11</t>
  </si>
  <si>
    <t>Ferrite Bead LI Series, Impedance 150Ohm@100MHz, DCR 0.5Ohm, Imax 300mA, Package SMT L4.5mmXW1.6mmXH1.6mm</t>
  </si>
  <si>
    <t>Power Inductor SDR1005 Series, 1mH, Tol. 10%, Imax 300mA, Isat 350mA, RDC 3.9Ohm, SRF 2MHz, Package SMT L12.7mmXW10mmXH5mm</t>
  </si>
  <si>
    <t>LI1806C151R-10</t>
  </si>
  <si>
    <t>SDR1005-102KL</t>
  </si>
  <si>
    <t>Laird Technologies</t>
  </si>
  <si>
    <t>Bourns</t>
  </si>
  <si>
    <t>HD0028</t>
  </si>
  <si>
    <t>J21</t>
  </si>
  <si>
    <t>2.0 WTB HDR ASSY ST 3CKT</t>
  </si>
  <si>
    <t>Male Pin Heder 4x1 length 8mm</t>
  </si>
  <si>
    <t>0557550319</t>
  </si>
  <si>
    <t>BB02-HA041-KB1-6030S1-6T</t>
  </si>
  <si>
    <t>Molex Inc</t>
  </si>
  <si>
    <t>GradConn</t>
  </si>
  <si>
    <t>B2B-XH-A</t>
  </si>
  <si>
    <t>CR 1/2 AA WC</t>
  </si>
  <si>
    <t>JST</t>
  </si>
  <si>
    <t>PCB1</t>
  </si>
  <si>
    <t>PTC THERMISTORS Ih15mA It30mA</t>
  </si>
  <si>
    <t>Amphenol Advanced Sensors</t>
  </si>
  <si>
    <t>PTC</t>
  </si>
  <si>
    <t>Thick Film Resistor MCR Series, 0Ohm, Tol. ±5%, Power 0.125W, Imax 2A, 0805, Temp. Range -55°C~155°C, Temp. Coef. ±200ppm/°C</t>
  </si>
  <si>
    <t>MCR10ERTJ000</t>
  </si>
  <si>
    <t>RT0111</t>
  </si>
  <si>
    <t>R6</t>
  </si>
  <si>
    <t>RA1 RB1</t>
  </si>
  <si>
    <t>Thick Film Resistor MCR Series, 10KOhm, Tol. ±5%, Power 0.125W, Vlimit 150V, 0805, Temp. Range -55°C~155°C, Temp. Coef. ±200ppm/°C</t>
  </si>
  <si>
    <t>Thick Film Resistor MCR Series, 2.7KOhm, Tol. ±5%, Power 0.125W, Vlimit 150V, 0805, Temp. Range -55°C~155°C, Temp. Coef. ±200ppm/°C</t>
  </si>
  <si>
    <t>Thick Film Resistor MCR Series, 1KOhm, Tol. ±5%, Power 0.125W, Vlimit 150V, 0805, Temp. Range -55°C~155°C, Temp. Coef. ±200ppm/°C</t>
  </si>
  <si>
    <t>MCR10ERTJ103</t>
  </si>
  <si>
    <t>MCR10ERTJ272</t>
  </si>
  <si>
    <t>MCR10ERTJ102</t>
  </si>
  <si>
    <t>C3 C4 C5</t>
  </si>
  <si>
    <t>C7</t>
  </si>
  <si>
    <t>C9 C10 CA3 CB3</t>
  </si>
  <si>
    <t>C12 C13</t>
  </si>
  <si>
    <t>CA2 CB2</t>
  </si>
  <si>
    <t xml:space="preserve">Ceramic Capacitor -- Series, 15pF, Tol. F, 10V, 0805, C0G, Temp. Coef. ±30ppm/°C </t>
  </si>
  <si>
    <t xml:space="preserve">Ceramic Capacitor CL Series, 1nF, Tol. K, 50V, 0805, X7R, Temp. Coef. ±15%  </t>
  </si>
  <si>
    <t xml:space="preserve">Ceramic Capacitor -- Series, 47PF, Tol. F, 50V, 0805, C0G, Temp. Coef. ±30ppm/°C </t>
  </si>
  <si>
    <t>Tantalum Capacitor TAJ Series, 470uF, Tol. M, 6.3V, Case D, -55°C~125°C, Reliability 1% per 1000Hrs@85°C, DF 0.12@120Hz@25°C, ESR 0.4Ohm@100KHz@25°C, Iripple --A@100KHz@85°C, ILEAK --A@6.3V@25°C</t>
  </si>
  <si>
    <t xml:space="preserve">Ceramic Capacitor -- Series, 100pF, Tol. F, 50V, 0805, C0G, Temp. Coef. ±30ppm/°C </t>
  </si>
  <si>
    <t>C0805C150F8GACTU</t>
  </si>
  <si>
    <t>CL21B102KBCNNN</t>
  </si>
  <si>
    <t>C0805C470F5GACTU</t>
  </si>
  <si>
    <t>TAJD477M006RNJ</t>
  </si>
  <si>
    <t>C0805C101F5GACTU</t>
  </si>
  <si>
    <t>CL0063</t>
  </si>
  <si>
    <t>L1</t>
  </si>
  <si>
    <t>L2 L3</t>
  </si>
  <si>
    <t>CE201210-22NJ</t>
  </si>
  <si>
    <t>RFID MODULE (NXP) - Shape HVQFN32</t>
  </si>
  <si>
    <t>PB0083</t>
  </si>
  <si>
    <t>PCB</t>
  </si>
  <si>
    <t>RFID module plug-in PCB V2.0</t>
  </si>
  <si>
    <t>SWD-GAH30-V2.00-0213</t>
  </si>
  <si>
    <t>RT0008</t>
  </si>
  <si>
    <t>RT0402</t>
  </si>
  <si>
    <t>R1 R9 R13</t>
  </si>
  <si>
    <t>R4 R12 R16</t>
  </si>
  <si>
    <t>Thick Film Resistor MCR Series, 1.5KOhm, Tol. ±5%, Power 0.125W, Vlimit 150V, 0805, Temp. Range -55°C~155°C, Temp. Coef. ±200ppm/°C</t>
  </si>
  <si>
    <t>Thick Film Resistor ESR Series, 10Ohm, Tol. ±1%, Power 0.4W, Vlimit 150V, 0805, Temp. Range -55°C~155°C, Temp. Coef. ±100ppm/°C</t>
  </si>
  <si>
    <t>MCR10ERTJ152</t>
  </si>
  <si>
    <t>ESR10EZPF10R0</t>
  </si>
  <si>
    <t>C2 C21 C61</t>
  </si>
  <si>
    <t>DI0151</t>
  </si>
  <si>
    <t>DV1 DV2 DV3</t>
  </si>
  <si>
    <t>DV4</t>
  </si>
  <si>
    <t>TVS Bi-directional, Vstandoff 16V, Ileak 5uA@Vstandoff, Ipeak 15.3A, Ppeak 400W, Psteady 1W, Package SMA</t>
  </si>
  <si>
    <t>SMAJ16CA-13-F</t>
  </si>
  <si>
    <t>CN0027</t>
  </si>
  <si>
    <t>J4</t>
  </si>
  <si>
    <t>SMT RG25 Connector</t>
  </si>
  <si>
    <t>5555077-1</t>
  </si>
  <si>
    <t>IC0049</t>
  </si>
  <si>
    <t>U1 U2 U3</t>
  </si>
  <si>
    <t>High Reliability Photocoupler, Photocoupler 5KV K10104A</t>
  </si>
  <si>
    <t>IC REG LDO 3.3V 0.1A SOT23-5</t>
  </si>
  <si>
    <t>RS485 PCB V3.0 01/2015</t>
  </si>
  <si>
    <t>RT0079</t>
  </si>
  <si>
    <t>Thick Film Resistor MCR Series, 680Ohm, Tol. ±1%, Power 0.125W, Vlimit 150V, 0805, Temp. Range -55°C~155°C, Temp. Coef. ±100ppm/°C</t>
  </si>
  <si>
    <t>SMD PTC RESETTABLE FUSE - 1210 - 100mA 30V HLD</t>
  </si>
  <si>
    <t>MCR10ERTF6800</t>
  </si>
  <si>
    <t>C18</t>
  </si>
  <si>
    <t>RT0043</t>
  </si>
  <si>
    <t>Thick Film Resistor MCR Series, 4.7KOhm, Tol. ±5%, Power 0.125W, Vlimit 150V, 0805, Temp. Range -55°C~155°C, Temp. Coef. ±200ppm/°C</t>
  </si>
  <si>
    <t>Thick Film Resistor MCR Series, 24KOhm, Tol. ±1%, Power 0.125W, Vlimit 150V, 0805, Temp. Range -55°C~155°C, Temp. Coef. ±100ppm/°C</t>
  </si>
  <si>
    <t>Thick Film Resistor MCR Series, 100KOhm, Tol. ±5%, Power 0.125W, Vlimit 150V, 0805, Temp. Range -55°C~155°C, Temp. Coef. ±200ppm/°C</t>
  </si>
  <si>
    <t>Thick Film Resistor MCR Series, 22Ohm, Tol. ±5%, Power 0.125W, Vlimit 150V, 0805, Temp. Range -55°C~155°C, Temp. Coef. ±200ppm/°C</t>
  </si>
  <si>
    <t>MCR10ERTJ472</t>
  </si>
  <si>
    <t>MCR10ERTF2402</t>
  </si>
  <si>
    <t>MCR10ERTJ104</t>
  </si>
  <si>
    <t>MCR10ERTJ220</t>
  </si>
  <si>
    <t>Ceramic Capacitor -- Series, 220pF, Tol. K, 25V, 0805, C0G, Temp. Coef. ±30ppm/°C</t>
  </si>
  <si>
    <t xml:space="preserve">Ceramic Capacitor CL Series, 22nF, Tol. K, 50V, 0805, X7R, Temp. Coef. ±15%  </t>
  </si>
  <si>
    <t>Ceramic Capacitor -- Series, 27pF, Tol. K, 25V, 0805, C0G, Temp. Coef. ±30ppm/°C</t>
  </si>
  <si>
    <t>C0805C221K3GACTU</t>
  </si>
  <si>
    <t>CL21B223KBANNN</t>
  </si>
  <si>
    <t>C0805C270K3GACTU</t>
  </si>
  <si>
    <t>SD0002</t>
  </si>
  <si>
    <t>MF1ICS50</t>
  </si>
  <si>
    <t>BruceLee</t>
  </si>
  <si>
    <t>J2</t>
  </si>
  <si>
    <t>First initial BOM</t>
  </si>
  <si>
    <t xml:space="preserve">RFID BOARD BOM Added smart card part number  - RS485 BOARD BOM Removed R18 (0805 - 10 Ohm F - 0.4) - The GPRS Controller BOM  Added C_5 (0805 - X7R - 50 - 100nF – K) Added CN0057 (SCT1251WR-04P ) and JW0001 (JW05T26  OR JW05T52 )
</t>
  </si>
  <si>
    <t xml:space="preserve">Mechanical </t>
  </si>
  <si>
    <t>BS0009</t>
  </si>
  <si>
    <t>Base for EM101-1 new design</t>
  </si>
  <si>
    <t>Plastic PC Opaque (Gray color)</t>
  </si>
  <si>
    <t>CM0011</t>
  </si>
  <si>
    <t>LCD Window for EM101-1 new design</t>
  </si>
  <si>
    <t>Plastic PC Transparent</t>
  </si>
  <si>
    <t>TC0015</t>
  </si>
  <si>
    <t>Long Terminal Cover  for EM101-4SmartG-01</t>
  </si>
  <si>
    <t>Plastic PC Opaque(Gray Color)</t>
  </si>
  <si>
    <t>Rubber Material (Orange color)</t>
  </si>
  <si>
    <t>TL0002</t>
  </si>
  <si>
    <t>Terminal Movable Cage</t>
  </si>
  <si>
    <t>Steel 37 Zinc Plated Wo=11.3,Win=8.2,L=19.8,H=19.5</t>
  </si>
  <si>
    <t>SC0056</t>
  </si>
  <si>
    <t>Terminals Screw M6x1 L=16 mm</t>
  </si>
  <si>
    <t>Philips Round Pan Head Screw; Steel 37 Zinc Plated</t>
  </si>
  <si>
    <t>SC0108</t>
  </si>
  <si>
    <t>Slotted Cheese Head with a 2.3mm hole Steel 37 Zinc Plated</t>
  </si>
  <si>
    <t>SC0047</t>
  </si>
  <si>
    <t>Top and bottom Meter Cover Sealing Bolt M4x0.7 L=8 mm Special Head</t>
  </si>
  <si>
    <t>SC0071</t>
  </si>
  <si>
    <t xml:space="preserve"> Screw M3x0.5 L=4mm</t>
  </si>
  <si>
    <t>Pan head Philips; Steel 37 Zinc Plated</t>
  </si>
  <si>
    <t>Nut M4X0.7 L=6mm</t>
  </si>
  <si>
    <t xml:space="preserve">Ultrasonic Nut insert M4X6XD6 Brass material 59 open from two sides </t>
  </si>
  <si>
    <t>NU0021</t>
  </si>
  <si>
    <t>Nut M3X0.5 L=4mm</t>
  </si>
  <si>
    <t xml:space="preserve">Ultrasonic Nut insert M3 pitch=0.5mm Length= 4 Brass material 59 open from two sides </t>
  </si>
  <si>
    <t>mm</t>
  </si>
  <si>
    <t>MP0018</t>
  </si>
  <si>
    <t>Metal Part for Optical Port</t>
  </si>
  <si>
    <t>Steel 37 Galvanized</t>
  </si>
  <si>
    <t>LD0009</t>
  </si>
  <si>
    <t>Lead</t>
  </si>
  <si>
    <t>WR0001</t>
  </si>
  <si>
    <t>Lead Wire</t>
  </si>
  <si>
    <t>Steel</t>
  </si>
  <si>
    <t>WR0116</t>
  </si>
  <si>
    <t>AC WIRE FOR ghana accra meter</t>
  </si>
  <si>
    <t>AC-N</t>
  </si>
  <si>
    <t>2 WIRE WITH 557550319 CONNECTOR</t>
  </si>
  <si>
    <t>RL0008</t>
  </si>
  <si>
    <t>NP0012</t>
  </si>
  <si>
    <t>Name plate  for EM101-1 new design</t>
  </si>
  <si>
    <t>Laser(silk screen)</t>
  </si>
  <si>
    <t>CA0019</t>
  </si>
  <si>
    <t>Small Carton for EM101-1 new design</t>
  </si>
  <si>
    <t>Carton Paper</t>
  </si>
  <si>
    <t>CA0043</t>
  </si>
  <si>
    <t>Large Carton for EM101-4 smart G-01</t>
  </si>
  <si>
    <t>MP0073</t>
  </si>
  <si>
    <t xml:space="preserve">Rubber for Battary Connector position in cover </t>
  </si>
  <si>
    <t>BS0023</t>
  </si>
  <si>
    <t>1ph ghana accra_Modem Base</t>
  </si>
  <si>
    <t>CM0033</t>
  </si>
  <si>
    <t>1ph ghana accra_Modem Meter Cover</t>
  </si>
  <si>
    <t>SC0092</t>
  </si>
  <si>
    <t>Modem Pan head Screw M3 x 10</t>
  </si>
  <si>
    <t>Steel 37 Zinc Plated</t>
  </si>
  <si>
    <t>SH0002</t>
  </si>
  <si>
    <t>WR0002</t>
  </si>
  <si>
    <t xml:space="preserve">Solder wire </t>
  </si>
  <si>
    <t>gm</t>
  </si>
  <si>
    <t>MP0007</t>
  </si>
  <si>
    <t>Tie belt</t>
  </si>
  <si>
    <t xml:space="preserve">plastic cable tie with length 5 cmm </t>
  </si>
  <si>
    <t>ST0021</t>
  </si>
  <si>
    <t>Sticker for connection wiring diagram white paper for 1 ph ghana accra</t>
  </si>
  <si>
    <t>Sticker for connection wiring diagram white paper</t>
  </si>
  <si>
    <t xml:space="preserve">Added mechanical BOM </t>
  </si>
  <si>
    <t>W/L</t>
  </si>
  <si>
    <t>C8 C11</t>
  </si>
  <si>
    <t>R1 R2</t>
  </si>
  <si>
    <t>C1 C2 C6</t>
  </si>
  <si>
    <t>CS0114</t>
  </si>
  <si>
    <t>C15</t>
  </si>
  <si>
    <t>CA1 CB1</t>
  </si>
  <si>
    <t>Connector</t>
  </si>
  <si>
    <t xml:space="preserve">RFID PCB </t>
  </si>
  <si>
    <t xml:space="preserve">Replaced the RFID PCB is the same as EM101-4-16 </t>
  </si>
  <si>
    <t>ICs</t>
  </si>
  <si>
    <t>THERMISTORS</t>
  </si>
  <si>
    <t>V14E460PL1B</t>
  </si>
  <si>
    <t>CS0240</t>
  </si>
  <si>
    <t>C0805C220J5GACTU</t>
  </si>
  <si>
    <t xml:space="preserve">Ceramic Capacitor -- Series, 22PF, Tol. J, 50V, 0805, C0G, Temp. Coef. ±30ppm/°C </t>
  </si>
  <si>
    <t>C50</t>
  </si>
  <si>
    <t>CS0119</t>
  </si>
  <si>
    <t>C2012X7R1E105K085AB</t>
  </si>
  <si>
    <t>Ceramic Capacitor C Series, 1uF, Tol. K, 25V, 0805, X7R, Temp. Coef. ±15%</t>
  </si>
  <si>
    <t>CS0146</t>
  </si>
  <si>
    <t>25ZLH820MEFC10X20</t>
  </si>
  <si>
    <t>Rubycon</t>
  </si>
  <si>
    <t>SMD FB</t>
  </si>
  <si>
    <t>D3</t>
  </si>
  <si>
    <t>LD0030</t>
  </si>
  <si>
    <t>91-21SUBC/S400-A6/TR10</t>
  </si>
  <si>
    <t>D4</t>
  </si>
  <si>
    <t>SMD Visable Light LEDS Blue , White plastic T coeffeient  ( 80 °C )</t>
  </si>
  <si>
    <t>HD0008</t>
  </si>
  <si>
    <t>BB02-HA041-KB1-6030U5-6T</t>
  </si>
  <si>
    <t>4PIN-CONNECTOR male right angle Pitch 2.54mm</t>
  </si>
  <si>
    <t>J9</t>
  </si>
  <si>
    <t>PIN HEADER 3X2 RIGHT ANGLE</t>
  </si>
  <si>
    <t>BB02-HE041-K01-6030R3</t>
  </si>
  <si>
    <t>J_10</t>
  </si>
  <si>
    <t>SWD-PPM45-V2.00-0315</t>
  </si>
  <si>
    <t>CS0250</t>
  </si>
  <si>
    <t>C1608X7R1H104K080AA</t>
  </si>
  <si>
    <t>Ceramic Capacitor C Series, 100nF, Tol. K, 50V, 0603, X7R, Temp. Coef. ±15%</t>
  </si>
  <si>
    <t>SS6038220ML</t>
  </si>
  <si>
    <t>LTST-C171KRKT</t>
  </si>
  <si>
    <t>SWD-PPM40-V2.00-0315</t>
  </si>
  <si>
    <t>WR0154</t>
  </si>
  <si>
    <t>HD0083</t>
  </si>
  <si>
    <t>PB0134</t>
  </si>
  <si>
    <t>PB0135</t>
  </si>
  <si>
    <t>updated GPRS BOM (modem and controller ) removed WR0115 and replaced by code WR0154 Coded new header BB02-HE061-K01-6030R3 by code HD0083 , new (modem and controller ) PCBS Coded  by PB0134 and PB0135 and coded new Capacitor 1000uF-10V-20%-10X12.5/5-9000Hrs-0.053Ω-1.7A by code CS0418</t>
  </si>
  <si>
    <t>CS0418</t>
  </si>
  <si>
    <t>AWG26 Stranded wire , 7 Strands each with diameter Φ = 0.16 mm , Length = 100 mm , insulated with Neoprene with temperature rating 90⁰C , with one (4Wire SMT RJ25M6P4C connector) from side and (2.54mm 1x4P Dupont Connector) from the other side</t>
  </si>
  <si>
    <t>AWG26 wire with 2.54mm 1x4P Dupont Connector</t>
  </si>
  <si>
    <t xml:space="preserve">added descripion for WR0154 and one tie belt </t>
  </si>
  <si>
    <t xml:space="preserve">Jumper wire </t>
  </si>
  <si>
    <t>JW0001</t>
  </si>
  <si>
    <t>JW05T26  OR JW05T52</t>
  </si>
  <si>
    <t>Added jumber wire for crystal</t>
  </si>
  <si>
    <t>RT0222</t>
  </si>
  <si>
    <t>RT0031</t>
  </si>
  <si>
    <t>Replaced R56,R57  (RT0019 ) to be RT0031</t>
  </si>
  <si>
    <t>AN0008</t>
  </si>
  <si>
    <t>HC-GSMA-SMA-05D</t>
  </si>
  <si>
    <t xml:space="preserve">Updated ver. For using SU0008 Shunt and CN0070 connector </t>
  </si>
  <si>
    <t>Type</t>
  </si>
  <si>
    <t>RS485 PCB</t>
  </si>
  <si>
    <t>GPRS Controller PCB</t>
  </si>
  <si>
    <t>RT0082</t>
  </si>
  <si>
    <t>MCR10ERTF8203</t>
  </si>
  <si>
    <t>Thick Film Resistor MCR Series, 820KOhm, Tol. ±1%, Power 0.125W, Vlimit 150V, 0805, Temp. Range -55°C~155°C, Temp. Coef. ±100ppm/°C</t>
  </si>
  <si>
    <t>RT0021</t>
  </si>
  <si>
    <t>MCR10ERTJ106</t>
  </si>
  <si>
    <t>HD0085</t>
  </si>
  <si>
    <t>BB02-HD041-KB1-30/30/127-6T</t>
  </si>
  <si>
    <t>Elevated Male pin Header 4 pins</t>
  </si>
  <si>
    <t>HD0084</t>
  </si>
  <si>
    <t>BB02-HD061-KB1-30/30/127-6T</t>
  </si>
  <si>
    <t>Elevated Male pin Header 6 pins</t>
  </si>
  <si>
    <t>ECN28052015-01</t>
  </si>
  <si>
    <t>WR0041</t>
  </si>
  <si>
    <t>WR0147</t>
  </si>
  <si>
    <t>SWD-PPM01-V3.00-0515</t>
  </si>
  <si>
    <t>PB0148</t>
  </si>
  <si>
    <t>SWD-PPM20-V3.00-0715</t>
  </si>
  <si>
    <t>PB0149</t>
  </si>
  <si>
    <t xml:space="preserve">Updated main PCB and RS485 PCB ver </t>
  </si>
  <si>
    <t>SU0020</t>
  </si>
  <si>
    <t xml:space="preserve">changed SU0008 to be SU0020 </t>
  </si>
  <si>
    <t>Shrink 3mm</t>
  </si>
  <si>
    <t>Shrink</t>
  </si>
  <si>
    <t>Added Jumber wire for crystal for GPRS module</t>
  </si>
  <si>
    <t>SRS022</t>
  </si>
  <si>
    <t>soldering Wire</t>
  </si>
  <si>
    <t xml:space="preserve">solder Bar 760 Gm </t>
  </si>
  <si>
    <t>SP0002</t>
  </si>
  <si>
    <t>soldering paste</t>
  </si>
  <si>
    <t>SRS011</t>
  </si>
  <si>
    <t>ISO</t>
  </si>
  <si>
    <t>SRS013</t>
  </si>
  <si>
    <t>Flux</t>
  </si>
  <si>
    <t>Gm</t>
  </si>
  <si>
    <t>used for PCBs (Main ,RFID,RS485 And GPRS (Controller ,MODEM )</t>
  </si>
  <si>
    <t xml:space="preserve">Added (Solder wire, Solder Bar, Solder Paste, ISO and Flux) in another TAB </t>
  </si>
  <si>
    <t>Production Materials Requirements For EM101-4SmartG-01</t>
  </si>
  <si>
    <t>Smart card printed Data for 1ph Ghana Accra EM101-4SmartG-01</t>
  </si>
  <si>
    <t>RP0001</t>
  </si>
  <si>
    <t>Smart Card printed</t>
  </si>
  <si>
    <t>Added Smart Card printed Data item</t>
  </si>
  <si>
    <t>MOM031</t>
  </si>
  <si>
    <t>Washer for terminal cover screw</t>
  </si>
  <si>
    <t>washer</t>
  </si>
  <si>
    <t>Added Washer for terminal cover screw , removed Silicone Flex Glass with 9mm MP0178</t>
  </si>
  <si>
    <t>CS0163</t>
  </si>
  <si>
    <t>RFID PCB , Changed CA1,CB1 TO be CS0163 instead of CS0314</t>
  </si>
  <si>
    <t>ECN21122015-02</t>
  </si>
  <si>
    <t>SW0033</t>
  </si>
  <si>
    <t>R7 R10 R11 R12 R49 R52</t>
  </si>
  <si>
    <t>MCR10ERTF2201</t>
  </si>
  <si>
    <t>R56 R57</t>
  </si>
  <si>
    <t>Thick Film Resistor MCR Series, 2.2KOhm, Tol. ±1%, Power 0.125W, Vlimit 150V, 0805, Temp. Range -55°C~155°C, Temp. Coef. ±100ppm/°C</t>
  </si>
  <si>
    <t>Thick Film Resistor MCR Series, 10MOhm, Tol. ±5%, Power 0.125W, Vlimit 150V, 0805, Temp. Range -55°C~155°C, Temp. Coef. ±200ppm/°C</t>
  </si>
  <si>
    <t>EKZN350ELL470ME11D</t>
  </si>
  <si>
    <t>IR LED, IfMAX 65mA, Vf 1.2V@20mA, Vr 5V, Pmax 130mW, IE 5mW/Sr@20mA, Lampda 940nm, Delta Lambda 45nm, Angle 25deg, Package 2-SMD, Z-Bend</t>
  </si>
  <si>
    <t>Phototransistor Black Lens 5mm, Lambda Peak 940nm, Lambda BW [730 1100]nm, Theta --degree, VceSatMax 0.4V, DarkCurrent 100nA, Trise 15usec, Tfall 15usec</t>
  </si>
  <si>
    <t>91-21SURC/S530-A3/TR10</t>
  </si>
  <si>
    <t>MLRR3</t>
  </si>
  <si>
    <t>TA603201D17</t>
  </si>
  <si>
    <t>Tack switch  PUSHBUTTON-SPST- Irated 50mA- Height=16mm</t>
  </si>
  <si>
    <t>CFS-20632768DZFB</t>
  </si>
  <si>
    <t>FBPT1340</t>
  </si>
  <si>
    <t>Through-hole type shrouded header, 2.5mm Pitch, Width=7.4mm,Height=7mm.</t>
  </si>
  <si>
    <t>J3</t>
  </si>
  <si>
    <t>Jumper wire diameter 0.5mm 6cm length</t>
  </si>
  <si>
    <t>Hamlin</t>
  </si>
  <si>
    <t xml:space="preserve"> Kaihua Electronics Co., Ltd</t>
  </si>
  <si>
    <t>Citizen Finetech Miyota</t>
  </si>
  <si>
    <t>Ningbo Best Group Co., Ltd</t>
  </si>
  <si>
    <t>ESR10EZPF1R00</t>
  </si>
  <si>
    <t>Thick Film Resistor ESR Series, 1Ohm, Tol. ±1%, Power 0.4W, Vlimit 150V, 0805, Temp. Range -55°C~155°C, Temp. Coef. ±100ppm/°C</t>
  </si>
  <si>
    <t>CL21C100JBANNNC</t>
  </si>
  <si>
    <t>Ceramic Capacitor CL Series, 10pF, Tol. J, 50V, "0805", C0G, Temp. Coef. ±30ppm/°C</t>
  </si>
  <si>
    <t>C0805C150J5GACTU</t>
  </si>
  <si>
    <t>Ceramic Capacitor -- Series, 15pF, Tol. J, 50V, 0805, C0G, Temp. Coef. ±30ppm/°C</t>
  </si>
  <si>
    <t>Multi-Layer Inductor CE201210 Series, 22nH, Tol. 5%, Imax 300mA, Isat --A, RDC 0.5Ohm, SRF 1400MHz, Package SMT L2mmXW1.25mmXH0.83mm</t>
  </si>
  <si>
    <t>MLF2012A2R2KT</t>
  </si>
  <si>
    <t>Magnetic Shielded Inductor MLF Series, 2.2uH, Tol. 10%, Imax 50mA, Isat --A, RDC 0.22Ohm, SRF 120MHz, Package SMT L2mmXW1.25mmXH0.85mm</t>
  </si>
  <si>
    <t>MFRC52201HN1</t>
  </si>
  <si>
    <t>CARD1</t>
  </si>
  <si>
    <t>Smart Card 1K byte MIFARE  RFID card</t>
  </si>
  <si>
    <t>NXP</t>
  </si>
  <si>
    <t>R6 R10 R17</t>
  </si>
  <si>
    <t>K10104A</t>
  </si>
  <si>
    <t>ST1480ABDR</t>
  </si>
  <si>
    <t xml:space="preserve"> TE Connectivity</t>
  </si>
  <si>
    <t>COSMO</t>
  </si>
  <si>
    <t>R5 R40 R41 R42 R43 R44 R45</t>
  </si>
  <si>
    <t>MCR10ERTF4701</t>
  </si>
  <si>
    <t>R8 R9</t>
  </si>
  <si>
    <t>Thick Film Resistor MCR Series, 4.7KOhm, Tol. ±1%, Power 0.125W, Vlimit 150V, 0805, Temp. Range -55°C~155°C, Temp. Coef. ±100ppm/°C</t>
  </si>
  <si>
    <t>R27 R29</t>
  </si>
  <si>
    <t>R38 R39</t>
  </si>
  <si>
    <t>C5 C6</t>
  </si>
  <si>
    <t>C4 C7 C8 C9 C17 C23 C47 C51 C_10</t>
  </si>
  <si>
    <t>C12 C13 C14 C15</t>
  </si>
  <si>
    <t>Electrolytic Capacitor ZLH Series, 820uF, Tol. ±20%, 25V, Radial D10mmXH20mmXP5mm -40°C~105°C, Reliability 10000Hrs@105°C, DF 0.14@120Hz@20°C, ESR 20m?@100KHz@20°C, Iripple 1.96A@100KHz@105°C, ILEAK 205uA@25V@20°C</t>
  </si>
  <si>
    <t>C45 C46</t>
  </si>
  <si>
    <t>C31 C32 C33 C34</t>
  </si>
  <si>
    <t>L10 L12</t>
  </si>
  <si>
    <t>Power Inductor 2200R Series, 1mH, Tol. 10%, Imax 0.17A, Isat --A, RDC 3.63Ohm, SRF 2.1MHz, Package Radial D7.2mmXH10.5mmXP3mm</t>
  </si>
  <si>
    <t>MMBZ5V6ALT1G</t>
  </si>
  <si>
    <t>IC TVS ZENER 24W SOT-23</t>
  </si>
  <si>
    <t>D9 D15 D17</t>
  </si>
  <si>
    <t>D14 D19</t>
  </si>
  <si>
    <t>RED LED, White Lens, 1.9mm SMD, Lambda Peak 632nm, Lambda BW 20nm, Theta 25 degree, Vf@Irated 2V ,Irated 20mA</t>
  </si>
  <si>
    <t>BSS138W</t>
  </si>
  <si>
    <t>Q5 Q6 Q7</t>
  </si>
  <si>
    <t>N-MOSFET Transistor, IDSmax 210mA, Vth 1.3V, Power 340mW, VDSmax 50V, Ron 1.17Ohm, Package SOT-323</t>
  </si>
  <si>
    <t>ST Microcontroller  80 pins, 8-bit ultralow power MCU,STM8L162M8,QFP80</t>
  </si>
  <si>
    <t>regulator (3.3V),  POSITIVE-VOLTAGE REGULATORS ,3.3V,700mA</t>
  </si>
  <si>
    <t>SWD-PPM45-V2.00-0315  GPRS CONTROLLER BOARD</t>
  </si>
  <si>
    <t>Bourns Inc</t>
  </si>
  <si>
    <t>Murata</t>
  </si>
  <si>
    <t>R18 R30</t>
  </si>
  <si>
    <t>R4 R17</t>
  </si>
  <si>
    <t>R32 R33 R34 R38</t>
  </si>
  <si>
    <t>C32 C33</t>
  </si>
  <si>
    <t>C4 C6 C9 C10 C31 C_22</t>
  </si>
  <si>
    <t>EKZN250ELL821MJ20S</t>
  </si>
  <si>
    <t>C1 C26</t>
  </si>
  <si>
    <t>Electrolytic Capacitor KZN Series, 1000uF, Tol. ±20%, 10V, Radial D10mmXH12.5mmXP5mm -40°C~105°C, Reliability 9000Hrs@105°C, DF 0.19@120Hz@20°C, ESR 0.053?@100KHz@20°C, Iripple 1.7A@100KHz@105°C, ILEAK 100uA@10V@20°C</t>
  </si>
  <si>
    <t>SHIELDED SMD POWER INDUCTOR</t>
  </si>
  <si>
    <t>Schottky Diode, If 2A, Vr 25V, Vf 0.45V@2A@25°C, Ir 90?A@25V@25°C, Trr --ns, Package SMB</t>
  </si>
  <si>
    <t>Zener Diode, Vz 4.3V, Iz 40mmA, Power 1W, Ileak 20uA@1V@25°C, Package SOD?123</t>
  </si>
  <si>
    <t>SMF05CT2G</t>
  </si>
  <si>
    <t>TVS ARRAY 5LINE 100W 5V SOT-363 SMF05C</t>
  </si>
  <si>
    <t>TVS Diode For ESD and Latch-Up Protection Vbr=6V Vrev=5V</t>
  </si>
  <si>
    <t>L5973AD</t>
  </si>
  <si>
    <t>step down switching regulator ; 2A ;8SOIC</t>
  </si>
  <si>
    <t>GSM GPRS Module</t>
  </si>
  <si>
    <t>sd-47553-0001</t>
  </si>
  <si>
    <t>SIM Card Holder with 2 Detect Pins, 6 Circuits, Push-Push Style, Housing Height 1.80mm</t>
  </si>
  <si>
    <t xml:space="preserve">5-1814400-1 </t>
  </si>
  <si>
    <t>J15</t>
  </si>
  <si>
    <t>THD SMA Antenna Connector</t>
  </si>
  <si>
    <t>ANT1</t>
  </si>
  <si>
    <t>824-960/1710-1990MHZ 20W Omni 50Ohm 3.0dBI</t>
  </si>
  <si>
    <t>Accra and Ethiopia modem board</t>
  </si>
  <si>
    <t>ABC Electronics Group</t>
  </si>
  <si>
    <t>SEMTECH</t>
  </si>
  <si>
    <t>Lite on Electronics</t>
  </si>
  <si>
    <t>SIMCOM</t>
  </si>
  <si>
    <t>Molex</t>
  </si>
  <si>
    <t>HIGH CLOUD</t>
  </si>
  <si>
    <t>MP0120</t>
  </si>
  <si>
    <t>SW0034</t>
  </si>
  <si>
    <t>NU0024</t>
  </si>
  <si>
    <t>Meter Cover for EM101-1 new modified by enlarging the battary and modem socket windows</t>
  </si>
  <si>
    <t>New rubber Button for Switch for EM101-1 new design</t>
  </si>
  <si>
    <t>Terminal Cover Sealing Bolt M4x0.7 L=30 mm Special Head</t>
  </si>
  <si>
    <t>AWG24 Stranded Copper wire (7 Strands 0.19mm diameter each) insulated with Silicon Rubber to withstand  (600V &amp; Temp. Rise up to 125⁰C) Area 0.2mm squared, Length 120mm, Strands 7, Colour Black with single ring terminal on one of its ends and the other end is soldered for 3mm long
Ring terminal specs: Non isolated, Bolt size M3, Outer diameter 6mm</t>
  </si>
  <si>
    <t>AWG24 Stranded Copper wire (7 Strands 0.19mm diameter each) insulated with Silicon Rubber to withstand  (600V &amp; Temp. Rise up to 125⁰C) Area 0.2mm squared, Length 120mm, Strands 7, Colour RED with single ring terminal on one of its ends and the other end is soldered for 3mm long
Ring terminal specs: Non isolated, Bolt size M3, Outer diameter 6mm</t>
  </si>
  <si>
    <t>single pole relay NRL709E-12D 100 A / 250 VAC / COIL : 12VDC     Terminal Material : copper alloy C10300 / with 3 signal wires AWG24 Stranded Copper wire 105 C - 300 V - Length 120 mm color Red / Green / Yellow</t>
  </si>
  <si>
    <t>CT 0001 / 10-100A / 1 : 1000 / class 0.1 with rigid black covering</t>
  </si>
  <si>
    <t>Shunt with Oxygen Free Copper alloy C10300 Terminals With 2 wires  AWG24 Stranded Copper wire (7 Strands 0.19mm diameter each) insulated with Silicon Rubber to withstand (600V &amp; Temp. Rise up to 125⁰C)Area 0.2mm squared, Length 150mm color Brown / Yellow</t>
  </si>
  <si>
    <t>CT 0001 / 10-100A / 1 : 1000 / class 0.3 with rigid black covering</t>
  </si>
  <si>
    <t>SILICON RUBBER</t>
  </si>
  <si>
    <t xml:space="preserve">plastic cable tie with length 10 cmm </t>
  </si>
  <si>
    <t>CT0041</t>
  </si>
  <si>
    <t xml:space="preserve"># Change the resistors (R2 R3 R4 R21 R22 R27 R30 R33 R63) From RT0083 to be RT0082 and accepted to use RT0083 till the quantities is finished #pin header of RFID board (4 pins) is (BB02-HD041-KB1-30/30/127-6T) BY CODE  HD0085 # Pin Header RS485 board (6 pins) is (BB02-HD061-KB1-30/30/127-6T) HD0084 # Added RT0021 QPJ 1 in the BOM its R31 </t>
  </si>
  <si>
    <t>Updated BOM to make unified main PCB for Accra and Ethiopia</t>
  </si>
  <si>
    <t>ECN10012016-01</t>
  </si>
  <si>
    <t>Rev.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</si>
</sst>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&quot;$&quot;* #,##0.00_-;\-&quot;$&quot;* #,##0.00_-;_-&quot;$&quot;* &quot;-&quot;??_-;_-@_-"/>
  </numFmts>
  <fonts count="2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26"/>
      <name val="Arial"/>
      <family val="2"/>
    </font>
    <font>
      <sz val="10"/>
      <name val="Arial"/>
      <family val="2"/>
    </font>
    <font>
      <b/>
      <sz val="12"/>
      <name val="Times New Roman"/>
      <family val="1"/>
    </font>
    <font>
      <b/>
      <sz val="20"/>
      <name val="Times New Roman"/>
      <family val="1"/>
    </font>
    <font>
      <b/>
      <sz val="18"/>
      <name val="Times New Roman"/>
      <family val="1"/>
    </font>
    <font>
      <b/>
      <vertAlign val="subscript"/>
      <sz val="18"/>
      <name val="Times New Roman"/>
      <family val="1"/>
    </font>
    <font>
      <b/>
      <sz val="16"/>
      <name val="Times New Roman"/>
      <family val="1"/>
    </font>
    <font>
      <b/>
      <vertAlign val="subscript"/>
      <sz val="16"/>
      <name val="Times New Roman"/>
      <family val="1"/>
    </font>
    <font>
      <b/>
      <sz val="14"/>
      <name val="Times New Roman"/>
      <family val="1"/>
    </font>
    <font>
      <b/>
      <sz val="12"/>
      <name val="Arial"/>
      <family val="2"/>
    </font>
    <font>
      <b/>
      <sz val="18"/>
      <name val="Arial"/>
      <family val="2"/>
    </font>
    <font>
      <sz val="10"/>
      <name val="Times New Roman"/>
      <family val="1"/>
    </font>
    <font>
      <sz val="11"/>
      <color theme="1"/>
      <name val="Arial"/>
      <family val="2"/>
    </font>
    <font>
      <b/>
      <sz val="36"/>
      <name val="Arial"/>
      <family val="2"/>
    </font>
    <font>
      <sz val="11"/>
      <color indexed="8"/>
      <name val="Calibri"/>
      <family val="2"/>
    </font>
    <font>
      <sz val="10"/>
      <color rgb="FFFF0000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64" fontId="2" fillId="0" borderId="0" applyFont="0" applyFill="0" applyBorder="0" applyAlignment="0" applyProtection="0"/>
    <xf numFmtId="0" fontId="20" fillId="0" borderId="0"/>
    <xf numFmtId="0" fontId="2" fillId="0" borderId="0"/>
    <xf numFmtId="0" fontId="9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</cellStyleXfs>
  <cellXfs count="126">
    <xf numFmtId="0" fontId="0" fillId="0" borderId="0" xfId="0"/>
    <xf numFmtId="0" fontId="0" fillId="0" borderId="0" xfId="0" applyFill="1" applyBorder="1"/>
    <xf numFmtId="0" fontId="0" fillId="0" borderId="0" xfId="0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2" xfId="0" applyFill="1" applyBorder="1"/>
    <xf numFmtId="0" fontId="0" fillId="0" borderId="0" xfId="0" applyFill="1" applyAlignment="1">
      <alignment vertical="center"/>
    </xf>
    <xf numFmtId="0" fontId="4" fillId="2" borderId="1" xfId="4" applyNumberFormat="1" applyFont="1" applyFill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7" fillId="0" borderId="1" xfId="3" applyNumberFormat="1" applyFont="1" applyFill="1" applyBorder="1" applyAlignment="1">
      <alignment horizontal="center" vertical="center" wrapText="1"/>
    </xf>
    <xf numFmtId="0" fontId="18" fillId="2" borderId="3" xfId="0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14" fontId="5" fillId="0" borderId="3" xfId="0" applyNumberFormat="1" applyFont="1" applyFill="1" applyBorder="1" applyAlignment="1">
      <alignment horizontal="center" vertical="center" wrapText="1"/>
    </xf>
    <xf numFmtId="0" fontId="0" fillId="3" borderId="0" xfId="0" applyFill="1"/>
    <xf numFmtId="0" fontId="0" fillId="0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0" xfId="0" applyFill="1"/>
    <xf numFmtId="0" fontId="7" fillId="0" borderId="0" xfId="0" applyFont="1" applyAlignment="1">
      <alignment horizontal="center" vertical="center" wrapText="1"/>
    </xf>
    <xf numFmtId="0" fontId="23" fillId="0" borderId="0" xfId="0" applyFont="1"/>
    <xf numFmtId="0" fontId="5" fillId="2" borderId="1" xfId="0" applyNumberFormat="1" applyFont="1" applyFill="1" applyBorder="1" applyAlignment="1">
      <alignment horizontal="center" vertical="center" wrapText="1"/>
    </xf>
    <xf numFmtId="0" fontId="7" fillId="0" borderId="1" xfId="3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left" vertical="center" wrapText="1"/>
    </xf>
    <xf numFmtId="14" fontId="5" fillId="0" borderId="3" xfId="0" applyNumberFormat="1" applyFont="1" applyFill="1" applyBorder="1" applyAlignment="1">
      <alignment horizontal="center" vertical="center" wrapText="1"/>
    </xf>
    <xf numFmtId="14" fontId="5" fillId="0" borderId="3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3" borderId="1" xfId="3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7" fillId="3" borderId="1" xfId="0" applyFont="1" applyFill="1" applyBorder="1" applyAlignment="1">
      <alignment horizontal="center" vertical="center" readingOrder="1"/>
    </xf>
    <xf numFmtId="14" fontId="5" fillId="0" borderId="3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14" fontId="5" fillId="0" borderId="3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/>
    </xf>
    <xf numFmtId="0" fontId="7" fillId="0" borderId="1" xfId="3" applyNumberFormat="1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left" vertical="center" wrapText="1"/>
    </xf>
    <xf numFmtId="0" fontId="7" fillId="3" borderId="1" xfId="3" applyNumberFormat="1" applyFont="1" applyFill="1" applyBorder="1" applyAlignment="1">
      <alignment horizontal="center" vertical="center"/>
    </xf>
    <xf numFmtId="14" fontId="5" fillId="0" borderId="3" xfId="0" applyNumberFormat="1" applyFont="1" applyFill="1" applyBorder="1" applyAlignment="1">
      <alignment horizontal="center" vertical="center" wrapText="1"/>
    </xf>
    <xf numFmtId="14" fontId="5" fillId="0" borderId="3" xfId="0" applyNumberFormat="1" applyFont="1" applyFill="1" applyBorder="1" applyAlignment="1">
      <alignment horizontal="center" vertical="center" wrapText="1"/>
    </xf>
    <xf numFmtId="14" fontId="5" fillId="0" borderId="3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 wrapText="1"/>
    </xf>
    <xf numFmtId="49" fontId="24" fillId="0" borderId="1" xfId="0" applyNumberFormat="1" applyFont="1" applyBorder="1" applyAlignment="1">
      <alignment horizontal="center" vertical="center" wrapText="1"/>
    </xf>
    <xf numFmtId="49" fontId="25" fillId="0" borderId="1" xfId="0" applyNumberFormat="1" applyFont="1" applyBorder="1" applyAlignment="1">
      <alignment horizontal="center" vertical="center" wrapText="1"/>
    </xf>
    <xf numFmtId="14" fontId="5" fillId="0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5" fillId="0" borderId="3" xfId="0" applyNumberFormat="1" applyFont="1" applyFill="1" applyBorder="1" applyAlignment="1">
      <alignment horizontal="center" vertical="center" wrapText="1"/>
    </xf>
    <xf numFmtId="49" fontId="17" fillId="3" borderId="1" xfId="0" applyNumberFormat="1" applyFon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14" fontId="5" fillId="0" borderId="3" xfId="0" applyNumberFormat="1" applyFont="1" applyFill="1" applyBorder="1" applyAlignment="1">
      <alignment horizontal="center" vertical="center" wrapText="1"/>
    </xf>
    <xf numFmtId="14" fontId="5" fillId="0" borderId="3" xfId="0" applyNumberFormat="1" applyFont="1" applyFill="1" applyBorder="1" applyAlignment="1">
      <alignment horizontal="center" vertical="center" wrapText="1"/>
    </xf>
    <xf numFmtId="14" fontId="5" fillId="0" borderId="3" xfId="0" applyNumberFormat="1" applyFont="1" applyFill="1" applyBorder="1" applyAlignment="1">
      <alignment horizontal="center" vertical="center" wrapText="1"/>
    </xf>
    <xf numFmtId="14" fontId="5" fillId="0" borderId="3" xfId="0" applyNumberFormat="1" applyFont="1" applyFill="1" applyBorder="1" applyAlignment="1">
      <alignment horizontal="center" vertical="center" wrapText="1"/>
    </xf>
    <xf numFmtId="14" fontId="5" fillId="0" borderId="3" xfId="0" applyNumberFormat="1" applyFont="1" applyFill="1" applyBorder="1" applyAlignment="1">
      <alignment horizontal="center" vertical="center" wrapText="1"/>
    </xf>
    <xf numFmtId="14" fontId="5" fillId="0" borderId="3" xfId="0" applyNumberFormat="1" applyFont="1" applyFill="1" applyBorder="1" applyAlignment="1">
      <alignment horizontal="center" vertical="center" wrapText="1"/>
    </xf>
    <xf numFmtId="0" fontId="4" fillId="2" borderId="5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49" fontId="25" fillId="3" borderId="1" xfId="0" applyNumberFormat="1" applyFont="1" applyFill="1" applyBorder="1" applyAlignment="1">
      <alignment horizontal="center" vertical="center" wrapText="1"/>
    </xf>
    <xf numFmtId="14" fontId="5" fillId="0" borderId="3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4" fontId="5" fillId="0" borderId="1" xfId="0" applyNumberFormat="1" applyFont="1" applyFill="1" applyBorder="1" applyAlignment="1">
      <alignment horizontal="center" vertical="center" wrapText="1"/>
    </xf>
    <xf numFmtId="0" fontId="17" fillId="0" borderId="3" xfId="0" applyNumberFormat="1" applyFont="1" applyFill="1" applyBorder="1" applyAlignment="1">
      <alignment horizontal="center" vertical="center" wrapText="1"/>
    </xf>
    <xf numFmtId="0" fontId="17" fillId="0" borderId="5" xfId="0" applyNumberFormat="1" applyFont="1" applyFill="1" applyBorder="1" applyAlignment="1">
      <alignment horizontal="center" vertical="center" wrapText="1"/>
    </xf>
    <xf numFmtId="0" fontId="17" fillId="0" borderId="4" xfId="0" applyNumberFormat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164" fontId="5" fillId="0" borderId="3" xfId="1" applyFont="1" applyFill="1" applyBorder="1" applyAlignment="1">
      <alignment horizontal="center" vertical="center" wrapText="1"/>
    </xf>
    <xf numFmtId="164" fontId="5" fillId="0" borderId="5" xfId="1" applyFont="1" applyFill="1" applyBorder="1" applyAlignment="1">
      <alignment horizontal="center" vertical="center" wrapText="1"/>
    </xf>
    <xf numFmtId="14" fontId="5" fillId="0" borderId="3" xfId="0" applyNumberFormat="1" applyFont="1" applyFill="1" applyBorder="1" applyAlignment="1">
      <alignment horizontal="center" vertical="center" wrapText="1"/>
    </xf>
    <xf numFmtId="14" fontId="5" fillId="0" borderId="5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/>
    </xf>
    <xf numFmtId="0" fontId="11" fillId="0" borderId="3" xfId="0" applyFont="1" applyFill="1" applyBorder="1" applyAlignment="1">
      <alignment horizontal="left" vertical="center"/>
    </xf>
    <xf numFmtId="0" fontId="11" fillId="0" borderId="12" xfId="0" applyFont="1" applyFill="1" applyBorder="1" applyAlignment="1">
      <alignment horizontal="left" vertical="center"/>
    </xf>
    <xf numFmtId="0" fontId="11" fillId="0" borderId="16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left" vertical="center"/>
    </xf>
    <xf numFmtId="0" fontId="4" fillId="2" borderId="14" xfId="0" applyFont="1" applyFill="1" applyBorder="1" applyAlignment="1">
      <alignment horizontal="left" vertical="center"/>
    </xf>
    <xf numFmtId="0" fontId="4" fillId="2" borderId="3" xfId="4" applyNumberFormat="1" applyFont="1" applyFill="1" applyBorder="1" applyAlignment="1">
      <alignment horizontal="center" vertical="center" wrapText="1" readingOrder="1"/>
    </xf>
    <xf numFmtId="0" fontId="4" fillId="2" borderId="4" xfId="4" applyNumberFormat="1" applyFont="1" applyFill="1" applyBorder="1" applyAlignment="1">
      <alignment horizontal="center" vertical="center" wrapText="1" readingOrder="1"/>
    </xf>
    <xf numFmtId="0" fontId="4" fillId="2" borderId="5" xfId="4" applyNumberFormat="1" applyFont="1" applyFill="1" applyBorder="1" applyAlignment="1">
      <alignment horizontal="center" vertical="center" wrapText="1" readingOrder="1"/>
    </xf>
    <xf numFmtId="0" fontId="4" fillId="3" borderId="1" xfId="3" applyFont="1" applyFill="1" applyBorder="1" applyAlignment="1">
      <alignment horizontal="center" vertical="center" wrapText="1"/>
    </xf>
    <xf numFmtId="0" fontId="16" fillId="0" borderId="18" xfId="0" applyFont="1" applyFill="1" applyBorder="1" applyAlignment="1">
      <alignment horizontal="left" vertical="center"/>
    </xf>
    <xf numFmtId="0" fontId="16" fillId="0" borderId="17" xfId="0" applyFont="1" applyFill="1" applyBorder="1" applyAlignment="1">
      <alignment horizontal="left" vertical="center"/>
    </xf>
    <xf numFmtId="0" fontId="16" fillId="0" borderId="12" xfId="0" applyFont="1" applyFill="1" applyBorder="1" applyAlignment="1">
      <alignment horizontal="left" vertical="center"/>
    </xf>
    <xf numFmtId="14" fontId="5" fillId="0" borderId="4" xfId="0" applyNumberFormat="1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17" fillId="2" borderId="1" xfId="0" applyNumberFormat="1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right" vertical="center"/>
    </xf>
    <xf numFmtId="0" fontId="12" fillId="0" borderId="15" xfId="0" applyFont="1" applyBorder="1" applyAlignment="1">
      <alignment horizontal="right" vertical="center"/>
    </xf>
    <xf numFmtId="0" fontId="12" fillId="0" borderId="1" xfId="0" applyFont="1" applyBorder="1" applyAlignment="1">
      <alignment horizontal="right" vertical="center"/>
    </xf>
    <xf numFmtId="0" fontId="12" fillId="0" borderId="3" xfId="0" applyFont="1" applyBorder="1" applyAlignment="1">
      <alignment horizontal="right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14" fillId="0" borderId="6" xfId="0" applyFont="1" applyBorder="1" applyAlignment="1">
      <alignment horizontal="left" vertical="center"/>
    </xf>
    <xf numFmtId="0" fontId="14" fillId="0" borderId="10" xfId="0" applyFont="1" applyBorder="1" applyAlignment="1">
      <alignment horizontal="left" vertical="center"/>
    </xf>
    <xf numFmtId="0" fontId="14" fillId="0" borderId="5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0" fillId="0" borderId="6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5" fillId="0" borderId="3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Fill="1" applyBorder="1" applyAlignment="1">
      <alignment horizontal="center" vertical="center" wrapText="1"/>
    </xf>
    <xf numFmtId="0" fontId="5" fillId="0" borderId="5" xfId="0" applyNumberFormat="1" applyFont="1" applyFill="1" applyBorder="1" applyAlignment="1">
      <alignment horizontal="center" vertical="center" wrapText="1"/>
    </xf>
    <xf numFmtId="0" fontId="16" fillId="0" borderId="10" xfId="0" applyFont="1" applyFill="1" applyBorder="1" applyAlignment="1">
      <alignment horizontal="left" vertical="center"/>
    </xf>
    <xf numFmtId="0" fontId="16" fillId="0" borderId="5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8" fillId="2" borderId="3" xfId="0" applyFont="1" applyFill="1" applyBorder="1" applyAlignment="1">
      <alignment horizontal="center" vertical="center" wrapText="1"/>
    </xf>
    <xf numFmtId="0" fontId="5" fillId="0" borderId="3" xfId="1" applyNumberFormat="1" applyFont="1" applyFill="1" applyBorder="1" applyAlignment="1">
      <alignment horizontal="center" vertical="center" wrapText="1"/>
    </xf>
    <xf numFmtId="0" fontId="5" fillId="0" borderId="5" xfId="1" applyNumberFormat="1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5" fillId="4" borderId="1" xfId="0" applyNumberFormat="1" applyFont="1" applyFill="1" applyBorder="1" applyAlignment="1">
      <alignment horizontal="center" vertical="center" wrapText="1"/>
    </xf>
    <xf numFmtId="0" fontId="4" fillId="4" borderId="1" xfId="3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49" fontId="25" fillId="4" borderId="1" xfId="0" applyNumberFormat="1" applyFont="1" applyFill="1" applyBorder="1" applyAlignment="1">
      <alignment horizontal="center" vertical="center" wrapText="1"/>
    </xf>
  </cellXfs>
  <cellStyles count="12">
    <cellStyle name="Currency" xfId="1" builtinId="4"/>
    <cellStyle name="Normal" xfId="0" builtinId="0"/>
    <cellStyle name="Normal 2" xfId="2"/>
    <cellStyle name="Normal 2 2" xfId="7"/>
    <cellStyle name="Normal 2 3" xfId="9"/>
    <cellStyle name="Normal 2 4" xfId="11"/>
    <cellStyle name="Normal 2 5" xfId="6"/>
    <cellStyle name="Normal 3" xfId="5"/>
    <cellStyle name="Normal 4" xfId="8"/>
    <cellStyle name="Normal 5" xfId="10"/>
    <cellStyle name="Normal_BOM Form" xfId="3"/>
    <cellStyle name="Normal_Sheet1_1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3689350</xdr:colOff>
      <xdr:row>0</xdr:row>
      <xdr:rowOff>114300</xdr:rowOff>
    </xdr:from>
    <xdr:to>
      <xdr:col>4</xdr:col>
      <xdr:colOff>5444332</xdr:colOff>
      <xdr:row>3</xdr:row>
      <xdr:rowOff>190500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467850" y="114300"/>
          <a:ext cx="1758950" cy="552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hessien\Local%20Settings\Temporary%20Internet%20Files\Content.Outlook\PO35G30B\F_MSS_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42">
          <cell r="A42" t="str">
            <v>NA</v>
          </cell>
          <cell r="B42" t="str">
            <v>NA</v>
          </cell>
        </row>
        <row r="43">
          <cell r="A43">
            <v>1</v>
          </cell>
          <cell r="B43" t="str">
            <v>5</v>
          </cell>
        </row>
        <row r="44">
          <cell r="A44">
            <v>5</v>
          </cell>
          <cell r="B44">
            <v>6</v>
          </cell>
        </row>
        <row r="45">
          <cell r="A45">
            <v>15</v>
          </cell>
          <cell r="B45">
            <v>10</v>
          </cell>
        </row>
        <row r="46">
          <cell r="A46">
            <v>20</v>
          </cell>
          <cell r="B46">
            <v>20</v>
          </cell>
        </row>
        <row r="47">
          <cell r="A47">
            <v>25</v>
          </cell>
          <cell r="B47">
            <v>25</v>
          </cell>
        </row>
        <row r="48">
          <cell r="A48">
            <v>30</v>
          </cell>
          <cell r="B48">
            <v>30</v>
          </cell>
        </row>
        <row r="49">
          <cell r="A49">
            <v>35</v>
          </cell>
          <cell r="B49">
            <v>35</v>
          </cell>
        </row>
        <row r="50">
          <cell r="A50">
            <v>40</v>
          </cell>
          <cell r="B50">
            <v>40</v>
          </cell>
        </row>
        <row r="51">
          <cell r="A51">
            <v>45</v>
          </cell>
          <cell r="B51">
            <v>45</v>
          </cell>
        </row>
        <row r="52">
          <cell r="A52">
            <v>50</v>
          </cell>
          <cell r="B52">
            <v>50</v>
          </cell>
        </row>
        <row r="53">
          <cell r="A53">
            <v>55</v>
          </cell>
          <cell r="B53">
            <v>55</v>
          </cell>
        </row>
        <row r="54">
          <cell r="A54">
            <v>60</v>
          </cell>
          <cell r="B54">
            <v>60</v>
          </cell>
        </row>
        <row r="55">
          <cell r="A55">
            <v>65</v>
          </cell>
          <cell r="B55">
            <v>65</v>
          </cell>
        </row>
        <row r="56">
          <cell r="A56">
            <v>70</v>
          </cell>
          <cell r="B56">
            <v>70</v>
          </cell>
        </row>
        <row r="57">
          <cell r="A57">
            <v>75</v>
          </cell>
          <cell r="B57">
            <v>75</v>
          </cell>
        </row>
        <row r="58">
          <cell r="A58">
            <v>80</v>
          </cell>
          <cell r="B58">
            <v>80</v>
          </cell>
        </row>
        <row r="59">
          <cell r="A59">
            <v>85</v>
          </cell>
          <cell r="B59">
            <v>85</v>
          </cell>
        </row>
        <row r="60">
          <cell r="A60">
            <v>90</v>
          </cell>
          <cell r="B60">
            <v>90</v>
          </cell>
        </row>
        <row r="61">
          <cell r="A61">
            <v>95</v>
          </cell>
          <cell r="B61">
            <v>95</v>
          </cell>
        </row>
        <row r="62">
          <cell r="A62">
            <v>100</v>
          </cell>
          <cell r="B62">
            <v>100</v>
          </cell>
        </row>
        <row r="63">
          <cell r="B63">
            <v>105</v>
          </cell>
        </row>
        <row r="64">
          <cell r="B64">
            <v>110</v>
          </cell>
        </row>
        <row r="65">
          <cell r="B65">
            <v>115</v>
          </cell>
        </row>
        <row r="66">
          <cell r="B66">
            <v>120</v>
          </cell>
        </row>
        <row r="67">
          <cell r="B67">
            <v>125</v>
          </cell>
        </row>
        <row r="68">
          <cell r="B68">
            <v>130</v>
          </cell>
        </row>
        <row r="69">
          <cell r="B69">
            <v>135</v>
          </cell>
        </row>
        <row r="70">
          <cell r="B70">
            <v>140</v>
          </cell>
        </row>
        <row r="71">
          <cell r="B71">
            <v>145</v>
          </cell>
        </row>
        <row r="72">
          <cell r="B72">
            <v>150</v>
          </cell>
        </row>
        <row r="73">
          <cell r="B73">
            <v>155</v>
          </cell>
        </row>
        <row r="74">
          <cell r="B74">
            <v>160</v>
          </cell>
        </row>
        <row r="75">
          <cell r="B75">
            <v>165</v>
          </cell>
        </row>
        <row r="76">
          <cell r="B76">
            <v>170</v>
          </cell>
        </row>
        <row r="77">
          <cell r="B77">
            <v>175</v>
          </cell>
        </row>
        <row r="78">
          <cell r="B78">
            <v>180</v>
          </cell>
        </row>
        <row r="79">
          <cell r="B79">
            <v>185</v>
          </cell>
        </row>
        <row r="80">
          <cell r="B80">
            <v>190</v>
          </cell>
        </row>
        <row r="81">
          <cell r="B81">
            <v>195</v>
          </cell>
        </row>
        <row r="82">
          <cell r="B82">
            <v>200</v>
          </cell>
        </row>
        <row r="87">
          <cell r="A87" t="str">
            <v>NA</v>
          </cell>
          <cell r="B87" t="str">
            <v>NA</v>
          </cell>
        </row>
        <row r="88">
          <cell r="A88">
            <v>57.5</v>
          </cell>
          <cell r="B88">
            <v>100</v>
          </cell>
        </row>
        <row r="89">
          <cell r="A89">
            <v>63.5</v>
          </cell>
          <cell r="B89">
            <v>110</v>
          </cell>
        </row>
        <row r="90">
          <cell r="A90">
            <v>57.7</v>
          </cell>
          <cell r="B90">
            <v>380</v>
          </cell>
        </row>
        <row r="91">
          <cell r="A91">
            <v>100</v>
          </cell>
          <cell r="B91">
            <v>400</v>
          </cell>
        </row>
        <row r="92">
          <cell r="A92">
            <v>110</v>
          </cell>
          <cell r="B92">
            <v>480</v>
          </cell>
        </row>
        <row r="93">
          <cell r="A93">
            <v>120</v>
          </cell>
          <cell r="B93">
            <v>400</v>
          </cell>
        </row>
        <row r="94">
          <cell r="A94">
            <v>220</v>
          </cell>
          <cell r="B94">
            <v>450</v>
          </cell>
        </row>
        <row r="95">
          <cell r="A95">
            <v>230</v>
          </cell>
          <cell r="B95">
            <v>415</v>
          </cell>
        </row>
        <row r="96">
          <cell r="A96">
            <v>240</v>
          </cell>
          <cell r="B96" t="str">
            <v>…220/380</v>
          </cell>
        </row>
        <row r="97">
          <cell r="A97">
            <v>380</v>
          </cell>
          <cell r="B97" t="str">
            <v>…277/480</v>
          </cell>
        </row>
        <row r="98">
          <cell r="A98">
            <v>220</v>
          </cell>
        </row>
        <row r="99">
          <cell r="A99">
            <v>230</v>
          </cell>
        </row>
        <row r="100">
          <cell r="A100">
            <v>230</v>
          </cell>
        </row>
        <row r="101">
          <cell r="A101">
            <v>260</v>
          </cell>
        </row>
        <row r="102">
          <cell r="A102">
            <v>260</v>
          </cell>
        </row>
        <row r="103">
          <cell r="A103">
            <v>240</v>
          </cell>
        </row>
        <row r="104">
          <cell r="A104" t="str">
            <v>58/100</v>
          </cell>
        </row>
        <row r="105">
          <cell r="A105" t="str">
            <v>58/100</v>
          </cell>
        </row>
        <row r="115">
          <cell r="A115">
            <v>2</v>
          </cell>
        </row>
        <row r="116">
          <cell r="A116">
            <v>3</v>
          </cell>
        </row>
        <row r="117">
          <cell r="A117">
            <v>4</v>
          </cell>
        </row>
        <row r="120">
          <cell r="A120">
            <v>3.5</v>
          </cell>
        </row>
        <row r="121">
          <cell r="A121">
            <v>5.8</v>
          </cell>
        </row>
        <row r="122">
          <cell r="A122">
            <v>6.5</v>
          </cell>
        </row>
        <row r="123">
          <cell r="A123">
            <v>7</v>
          </cell>
        </row>
        <row r="124">
          <cell r="A124">
            <v>8.5</v>
          </cell>
        </row>
        <row r="125">
          <cell r="A125">
            <v>9</v>
          </cell>
        </row>
        <row r="126">
          <cell r="A126">
            <v>10</v>
          </cell>
        </row>
        <row r="127">
          <cell r="A127">
            <v>11</v>
          </cell>
        </row>
        <row r="128">
          <cell r="A128">
            <v>12</v>
          </cell>
        </row>
        <row r="135">
          <cell r="A135" t="str">
            <v>Active[A]</v>
          </cell>
        </row>
        <row r="136">
          <cell r="A136" t="str">
            <v>Reactive[R]</v>
          </cell>
        </row>
        <row r="140">
          <cell r="A140" t="str">
            <v>Arabic</v>
          </cell>
        </row>
        <row r="141">
          <cell r="A141" t="str">
            <v>English</v>
          </cell>
        </row>
        <row r="144">
          <cell r="A144">
            <v>5</v>
          </cell>
        </row>
        <row r="145">
          <cell r="A145">
            <v>6</v>
          </cell>
        </row>
        <row r="146">
          <cell r="A146">
            <v>7</v>
          </cell>
        </row>
        <row r="147">
          <cell r="A147" t="str">
            <v>4+1</v>
          </cell>
        </row>
        <row r="148">
          <cell r="A148" t="str">
            <v>5+1</v>
          </cell>
        </row>
        <row r="149">
          <cell r="A149" t="str">
            <v>6+1</v>
          </cell>
        </row>
        <row r="152">
          <cell r="A152" t="str">
            <v>Uni-Directional</v>
          </cell>
        </row>
        <row r="153">
          <cell r="A153" t="str">
            <v>Bi-Directional</v>
          </cell>
        </row>
        <row r="156">
          <cell r="A156" t="str">
            <v>L[Long]</v>
          </cell>
        </row>
        <row r="157">
          <cell r="A157" t="str">
            <v>Short</v>
          </cell>
        </row>
        <row r="160">
          <cell r="A160" t="str">
            <v>P.C [Polycarbonate]</v>
          </cell>
        </row>
        <row r="161">
          <cell r="A161" t="str">
            <v>Metallic</v>
          </cell>
        </row>
        <row r="174">
          <cell r="A174" t="str">
            <v>Internal</v>
          </cell>
        </row>
        <row r="175">
          <cell r="A175" t="str">
            <v>External</v>
          </cell>
        </row>
        <row r="176">
          <cell r="A176" t="str">
            <v>Internal-External</v>
          </cell>
        </row>
        <row r="183">
          <cell r="A183" t="str">
            <v>Single</v>
          </cell>
        </row>
        <row r="184">
          <cell r="A184" t="str">
            <v>Double</v>
          </cell>
        </row>
        <row r="187">
          <cell r="A187">
            <v>521</v>
          </cell>
        </row>
        <row r="188">
          <cell r="A188" t="str">
            <v>62053-11</v>
          </cell>
        </row>
        <row r="191">
          <cell r="A191">
            <v>50</v>
          </cell>
        </row>
        <row r="192">
          <cell r="A192">
            <v>60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9"/>
  <sheetViews>
    <sheetView workbookViewId="0">
      <selection activeCell="D7" sqref="D7"/>
    </sheetView>
  </sheetViews>
  <sheetFormatPr defaultRowHeight="12.75" x14ac:dyDescent="0.2"/>
  <cols>
    <col min="1" max="1" width="6" customWidth="1"/>
    <col min="2" max="2" width="15.85546875" customWidth="1"/>
    <col min="3" max="3" width="29.140625" customWidth="1"/>
    <col min="4" max="4" width="37.85546875" customWidth="1"/>
    <col min="5" max="5" width="36.42578125" customWidth="1"/>
    <col min="6" max="6" width="22.28515625" customWidth="1"/>
  </cols>
  <sheetData>
    <row r="2" spans="1:8" ht="20.25" x14ac:dyDescent="0.2">
      <c r="A2" s="63" t="s">
        <v>619</v>
      </c>
      <c r="B2" s="63"/>
      <c r="C2" s="63"/>
      <c r="D2" s="63"/>
      <c r="E2" s="63"/>
      <c r="F2" s="63"/>
      <c r="G2" s="63"/>
      <c r="H2" s="63"/>
    </row>
    <row r="4" spans="1:8" ht="42.75" customHeight="1" x14ac:dyDescent="0.2">
      <c r="A4" s="43" t="s">
        <v>0</v>
      </c>
      <c r="B4" s="8" t="s">
        <v>7</v>
      </c>
      <c r="C4" s="8" t="s">
        <v>4</v>
      </c>
      <c r="D4" s="8" t="s">
        <v>1</v>
      </c>
      <c r="E4" s="8" t="s">
        <v>13</v>
      </c>
      <c r="F4" s="8" t="s">
        <v>6</v>
      </c>
      <c r="G4" s="8" t="s">
        <v>2</v>
      </c>
      <c r="H4" s="8" t="s">
        <v>3</v>
      </c>
    </row>
    <row r="5" spans="1:8" ht="44.1" customHeight="1" x14ac:dyDescent="0.2">
      <c r="A5" s="20">
        <v>1</v>
      </c>
      <c r="B5" s="24" t="s">
        <v>508</v>
      </c>
      <c r="C5" s="23"/>
      <c r="D5" s="25" t="s">
        <v>608</v>
      </c>
      <c r="E5" s="25" t="s">
        <v>617</v>
      </c>
      <c r="F5" s="23"/>
      <c r="G5" s="21" t="s">
        <v>616</v>
      </c>
      <c r="H5" s="21"/>
    </row>
    <row r="6" spans="1:8" ht="44.1" customHeight="1" x14ac:dyDescent="0.2">
      <c r="A6" s="20">
        <f>A5+1</f>
        <v>2</v>
      </c>
      <c r="B6" s="50" t="s">
        <v>607</v>
      </c>
      <c r="C6" s="51"/>
      <c r="D6" s="38" t="s">
        <v>609</v>
      </c>
      <c r="E6" s="25" t="s">
        <v>617</v>
      </c>
      <c r="F6" s="44"/>
      <c r="G6" s="29" t="s">
        <v>616</v>
      </c>
      <c r="H6" s="29"/>
    </row>
    <row r="7" spans="1:8" ht="44.1" customHeight="1" x14ac:dyDescent="0.2">
      <c r="A7" s="20">
        <f t="shared" ref="A7:A9" si="0">A6+1</f>
        <v>3</v>
      </c>
      <c r="B7" s="50" t="s">
        <v>610</v>
      </c>
      <c r="C7" s="51"/>
      <c r="D7" s="38" t="s">
        <v>611</v>
      </c>
      <c r="E7" s="25" t="s">
        <v>617</v>
      </c>
      <c r="F7" s="44"/>
      <c r="G7" s="29" t="s">
        <v>616</v>
      </c>
      <c r="H7" s="29"/>
    </row>
    <row r="8" spans="1:8" ht="44.1" customHeight="1" x14ac:dyDescent="0.2">
      <c r="A8" s="20">
        <f t="shared" si="0"/>
        <v>4</v>
      </c>
      <c r="B8" s="50" t="s">
        <v>612</v>
      </c>
      <c r="C8" s="51"/>
      <c r="D8" s="38" t="s">
        <v>613</v>
      </c>
      <c r="E8" s="25" t="s">
        <v>617</v>
      </c>
      <c r="F8" s="44"/>
      <c r="G8" s="29" t="s">
        <v>616</v>
      </c>
      <c r="H8" s="29"/>
    </row>
    <row r="9" spans="1:8" ht="37.5" customHeight="1" x14ac:dyDescent="0.2">
      <c r="A9" s="20">
        <f t="shared" si="0"/>
        <v>5</v>
      </c>
      <c r="B9" s="24" t="s">
        <v>614</v>
      </c>
      <c r="C9" s="44"/>
      <c r="D9" s="38" t="s">
        <v>615</v>
      </c>
      <c r="E9" s="25" t="s">
        <v>617</v>
      </c>
      <c r="F9" s="44"/>
      <c r="G9" s="29" t="s">
        <v>616</v>
      </c>
      <c r="H9" s="29"/>
    </row>
  </sheetData>
  <mergeCells count="1">
    <mergeCell ref="A2:H2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1"/>
  <sheetViews>
    <sheetView tabSelected="1" view="pageBreakPreview" topLeftCell="A187" zoomScale="80" zoomScaleNormal="75" zoomScaleSheetLayoutView="80" workbookViewId="0">
      <selection activeCell="D197" sqref="D197"/>
    </sheetView>
  </sheetViews>
  <sheetFormatPr defaultRowHeight="15" x14ac:dyDescent="0.2"/>
  <cols>
    <col min="1" max="1" width="8.28515625" style="5" customWidth="1"/>
    <col min="2" max="2" width="25.5703125" style="1" customWidth="1"/>
    <col min="3" max="3" width="21" style="2" customWidth="1"/>
    <col min="4" max="4" width="22.28515625" style="12" customWidth="1"/>
    <col min="5" max="5" width="84" style="2" customWidth="1"/>
    <col min="6" max="6" width="63.85546875" style="2" customWidth="1"/>
    <col min="7" max="7" width="83.5703125" style="2" customWidth="1"/>
    <col min="8" max="8" width="29.85546875" style="2" customWidth="1"/>
    <col min="9" max="9" width="12.7109375" style="2" customWidth="1"/>
    <col min="10" max="10" width="12" style="2" customWidth="1"/>
    <col min="11" max="11" width="11.28515625" style="18" customWidth="1"/>
  </cols>
  <sheetData>
    <row r="1" spans="1:11" ht="12.75" customHeight="1" x14ac:dyDescent="0.2">
      <c r="A1" s="101" t="s">
        <v>16</v>
      </c>
      <c r="B1" s="102"/>
      <c r="C1" s="103"/>
      <c r="D1" s="103"/>
      <c r="E1" s="107"/>
      <c r="F1" s="107"/>
      <c r="G1" s="95" t="s">
        <v>18</v>
      </c>
      <c r="H1" s="95"/>
      <c r="I1" s="95"/>
      <c r="J1" s="96"/>
      <c r="K1" s="96"/>
    </row>
    <row r="2" spans="1:11" ht="12.75" customHeight="1" x14ac:dyDescent="0.2">
      <c r="A2" s="104"/>
      <c r="B2" s="105"/>
      <c r="C2" s="106"/>
      <c r="D2" s="106"/>
      <c r="E2" s="108"/>
      <c r="F2" s="108"/>
      <c r="G2" s="97"/>
      <c r="H2" s="97"/>
      <c r="I2" s="97"/>
      <c r="J2" s="98"/>
      <c r="K2" s="98"/>
    </row>
    <row r="3" spans="1:11" ht="12.75" customHeight="1" x14ac:dyDescent="0.2">
      <c r="A3" s="104"/>
      <c r="B3" s="105"/>
      <c r="C3" s="106"/>
      <c r="D3" s="106"/>
      <c r="E3" s="108"/>
      <c r="F3" s="108"/>
      <c r="G3" s="97"/>
      <c r="H3" s="97"/>
      <c r="I3" s="97"/>
      <c r="J3" s="98"/>
      <c r="K3" s="98"/>
    </row>
    <row r="4" spans="1:11" ht="17.25" customHeight="1" x14ac:dyDescent="0.2">
      <c r="A4" s="104"/>
      <c r="B4" s="105"/>
      <c r="C4" s="106"/>
      <c r="D4" s="106"/>
      <c r="E4" s="108"/>
      <c r="F4" s="108"/>
      <c r="G4" s="97"/>
      <c r="H4" s="97"/>
      <c r="I4" s="97"/>
      <c r="J4" s="98"/>
      <c r="K4" s="98"/>
    </row>
    <row r="5" spans="1:11" ht="34.5" customHeight="1" x14ac:dyDescent="0.2">
      <c r="A5" s="112" t="s">
        <v>19</v>
      </c>
      <c r="B5" s="113"/>
      <c r="C5" s="114"/>
      <c r="D5" s="114"/>
      <c r="E5" s="99" t="s">
        <v>17</v>
      </c>
      <c r="F5" s="99"/>
      <c r="G5" s="75" t="s">
        <v>201</v>
      </c>
      <c r="H5" s="75"/>
      <c r="I5" s="75"/>
      <c r="J5" s="76"/>
      <c r="K5" s="76"/>
    </row>
    <row r="6" spans="1:11" ht="29.25" customHeight="1" thickBot="1" x14ac:dyDescent="0.25">
      <c r="A6" s="87" t="s">
        <v>15</v>
      </c>
      <c r="B6" s="88"/>
      <c r="C6" s="89"/>
      <c r="D6" s="89"/>
      <c r="E6" s="100"/>
      <c r="F6" s="100"/>
      <c r="G6" s="77" t="s">
        <v>20</v>
      </c>
      <c r="H6" s="77"/>
      <c r="I6" s="77"/>
      <c r="J6" s="78"/>
      <c r="K6" s="78"/>
    </row>
    <row r="7" spans="1:11" s="4" customFormat="1" ht="49.5" customHeight="1" x14ac:dyDescent="0.2">
      <c r="A7" s="80"/>
      <c r="B7" s="80"/>
      <c r="C7" s="80"/>
      <c r="D7" s="80"/>
      <c r="E7" s="79" t="s">
        <v>200</v>
      </c>
      <c r="F7" s="79"/>
      <c r="G7" s="80" t="s">
        <v>747</v>
      </c>
      <c r="H7" s="80"/>
      <c r="I7" s="80"/>
      <c r="J7" s="80"/>
      <c r="K7" s="80"/>
    </row>
    <row r="8" spans="1:11" s="1" customFormat="1" ht="51" customHeight="1" x14ac:dyDescent="0.2">
      <c r="A8" s="81" t="s">
        <v>172</v>
      </c>
      <c r="B8" s="82"/>
      <c r="C8" s="82"/>
      <c r="D8" s="82"/>
      <c r="E8" s="82"/>
      <c r="F8" s="82"/>
      <c r="G8" s="82"/>
      <c r="H8" s="82"/>
      <c r="I8" s="82"/>
      <c r="J8" s="82"/>
      <c r="K8" s="82"/>
    </row>
    <row r="9" spans="1:11" s="6" customFormat="1" ht="51.75" customHeight="1" x14ac:dyDescent="0.2">
      <c r="A9" s="43" t="s">
        <v>0</v>
      </c>
      <c r="B9" s="43" t="s">
        <v>395</v>
      </c>
      <c r="C9" s="43" t="s">
        <v>580</v>
      </c>
      <c r="D9" s="8" t="s">
        <v>7</v>
      </c>
      <c r="E9" s="8" t="s">
        <v>1</v>
      </c>
      <c r="F9" s="8" t="s">
        <v>5</v>
      </c>
      <c r="G9" s="8" t="s">
        <v>13</v>
      </c>
      <c r="H9" s="8" t="s">
        <v>6</v>
      </c>
      <c r="I9" s="8" t="s">
        <v>2</v>
      </c>
      <c r="J9" s="8" t="s">
        <v>518</v>
      </c>
      <c r="K9" s="8" t="s">
        <v>3</v>
      </c>
    </row>
    <row r="10" spans="1:11" s="2" customFormat="1" ht="71.25" customHeight="1" x14ac:dyDescent="0.2">
      <c r="A10" s="9">
        <v>1</v>
      </c>
      <c r="B10" s="45" t="s">
        <v>90</v>
      </c>
      <c r="C10" s="46" t="s">
        <v>21</v>
      </c>
      <c r="D10" s="24" t="s">
        <v>101</v>
      </c>
      <c r="E10" s="25" t="s">
        <v>234</v>
      </c>
      <c r="F10" s="25" t="s">
        <v>217</v>
      </c>
      <c r="G10" s="25" t="s">
        <v>224</v>
      </c>
      <c r="H10" s="23" t="s">
        <v>243</v>
      </c>
      <c r="I10" s="10" t="s">
        <v>32</v>
      </c>
      <c r="J10" s="21">
        <v>1</v>
      </c>
      <c r="K10" s="21">
        <v>3</v>
      </c>
    </row>
    <row r="11" spans="1:11" s="2" customFormat="1" ht="62.25" customHeight="1" x14ac:dyDescent="0.2">
      <c r="A11" s="9">
        <f>A10+1</f>
        <v>2</v>
      </c>
      <c r="B11" s="45" t="s">
        <v>90</v>
      </c>
      <c r="C11" s="46" t="s">
        <v>21</v>
      </c>
      <c r="D11" s="24" t="s">
        <v>583</v>
      </c>
      <c r="E11" s="25" t="s">
        <v>584</v>
      </c>
      <c r="F11" s="38" t="s">
        <v>218</v>
      </c>
      <c r="G11" s="38" t="s">
        <v>585</v>
      </c>
      <c r="H11" s="23" t="s">
        <v>243</v>
      </c>
      <c r="I11" s="21" t="s">
        <v>32</v>
      </c>
      <c r="J11" s="21">
        <v>1</v>
      </c>
      <c r="K11" s="29">
        <v>9</v>
      </c>
    </row>
    <row r="12" spans="1:11" s="2" customFormat="1" ht="69" customHeight="1" x14ac:dyDescent="0.2">
      <c r="A12" s="20">
        <f t="shared" ref="A12:A78" si="0">A11+1</f>
        <v>3</v>
      </c>
      <c r="B12" s="45" t="s">
        <v>90</v>
      </c>
      <c r="C12" s="46" t="s">
        <v>21</v>
      </c>
      <c r="D12" s="24" t="s">
        <v>211</v>
      </c>
      <c r="E12" s="25" t="s">
        <v>235</v>
      </c>
      <c r="F12" s="38" t="s">
        <v>632</v>
      </c>
      <c r="G12" s="38" t="s">
        <v>225</v>
      </c>
      <c r="H12" s="23" t="s">
        <v>243</v>
      </c>
      <c r="I12" s="21" t="s">
        <v>32</v>
      </c>
      <c r="J12" s="21">
        <v>1</v>
      </c>
      <c r="K12" s="29">
        <v>6</v>
      </c>
    </row>
    <row r="13" spans="1:11" s="2" customFormat="1" ht="69" customHeight="1" x14ac:dyDescent="0.2">
      <c r="A13" s="20">
        <f t="shared" si="0"/>
        <v>4</v>
      </c>
      <c r="B13" s="45" t="s">
        <v>90</v>
      </c>
      <c r="C13" s="46" t="s">
        <v>21</v>
      </c>
      <c r="D13" s="24" t="s">
        <v>575</v>
      </c>
      <c r="E13" s="25" t="s">
        <v>633</v>
      </c>
      <c r="F13" s="38" t="s">
        <v>634</v>
      </c>
      <c r="G13" s="38" t="s">
        <v>635</v>
      </c>
      <c r="H13" s="23" t="s">
        <v>243</v>
      </c>
      <c r="I13" s="21" t="s">
        <v>32</v>
      </c>
      <c r="J13" s="21">
        <v>1</v>
      </c>
      <c r="K13" s="29">
        <v>2</v>
      </c>
    </row>
    <row r="14" spans="1:11" s="2" customFormat="1" ht="42.75" customHeight="1" x14ac:dyDescent="0.2">
      <c r="A14" s="20">
        <f t="shared" si="0"/>
        <v>5</v>
      </c>
      <c r="B14" s="45" t="s">
        <v>90</v>
      </c>
      <c r="C14" s="46" t="s">
        <v>21</v>
      </c>
      <c r="D14" s="24" t="s">
        <v>99</v>
      </c>
      <c r="E14" s="25" t="s">
        <v>236</v>
      </c>
      <c r="F14" s="25" t="s">
        <v>219</v>
      </c>
      <c r="G14" s="25" t="s">
        <v>226</v>
      </c>
      <c r="H14" s="23" t="s">
        <v>243</v>
      </c>
      <c r="I14" s="21" t="s">
        <v>32</v>
      </c>
      <c r="J14" s="21">
        <v>1</v>
      </c>
      <c r="K14" s="21">
        <v>12</v>
      </c>
    </row>
    <row r="15" spans="1:11" s="2" customFormat="1" ht="65.25" customHeight="1" x14ac:dyDescent="0.2">
      <c r="A15" s="20">
        <f t="shared" si="0"/>
        <v>6</v>
      </c>
      <c r="B15" s="45" t="s">
        <v>90</v>
      </c>
      <c r="C15" s="46" t="s">
        <v>21</v>
      </c>
      <c r="D15" s="24" t="s">
        <v>212</v>
      </c>
      <c r="E15" s="25" t="s">
        <v>237</v>
      </c>
      <c r="F15" s="25" t="s">
        <v>220</v>
      </c>
      <c r="G15" s="25" t="s">
        <v>227</v>
      </c>
      <c r="H15" s="23" t="s">
        <v>243</v>
      </c>
      <c r="I15" s="21" t="s">
        <v>32</v>
      </c>
      <c r="J15" s="21">
        <v>1</v>
      </c>
      <c r="K15" s="21">
        <v>4</v>
      </c>
    </row>
    <row r="16" spans="1:11" s="2" customFormat="1" ht="60.75" customHeight="1" x14ac:dyDescent="0.2">
      <c r="A16" s="20">
        <f t="shared" si="0"/>
        <v>7</v>
      </c>
      <c r="B16" s="45" t="s">
        <v>90</v>
      </c>
      <c r="C16" s="46" t="s">
        <v>21</v>
      </c>
      <c r="D16" s="24" t="s">
        <v>213</v>
      </c>
      <c r="E16" s="25" t="s">
        <v>238</v>
      </c>
      <c r="F16" s="25" t="s">
        <v>221</v>
      </c>
      <c r="G16" s="25" t="s">
        <v>228</v>
      </c>
      <c r="H16" s="23" t="s">
        <v>243</v>
      </c>
      <c r="I16" s="21" t="s">
        <v>32</v>
      </c>
      <c r="J16" s="21">
        <v>1</v>
      </c>
      <c r="K16" s="21">
        <v>4</v>
      </c>
    </row>
    <row r="17" spans="1:11" s="2" customFormat="1" ht="62.25" customHeight="1" x14ac:dyDescent="0.2">
      <c r="A17" s="20">
        <f t="shared" si="0"/>
        <v>8</v>
      </c>
      <c r="B17" s="45" t="s">
        <v>90</v>
      </c>
      <c r="C17" s="46" t="s">
        <v>21</v>
      </c>
      <c r="D17" s="24" t="s">
        <v>214</v>
      </c>
      <c r="E17" s="25" t="s">
        <v>239</v>
      </c>
      <c r="F17" s="25" t="s">
        <v>222</v>
      </c>
      <c r="G17" s="25" t="s">
        <v>229</v>
      </c>
      <c r="H17" s="23" t="s">
        <v>243</v>
      </c>
      <c r="I17" s="21" t="s">
        <v>32</v>
      </c>
      <c r="J17" s="21">
        <v>1</v>
      </c>
      <c r="K17" s="21">
        <v>2</v>
      </c>
    </row>
    <row r="18" spans="1:11" s="15" customFormat="1" ht="63.75" customHeight="1" x14ac:dyDescent="0.2">
      <c r="A18" s="20">
        <f t="shared" si="0"/>
        <v>9</v>
      </c>
      <c r="B18" s="45" t="s">
        <v>90</v>
      </c>
      <c r="C18" s="46" t="s">
        <v>21</v>
      </c>
      <c r="D18" s="24" t="s">
        <v>100</v>
      </c>
      <c r="E18" s="25" t="s">
        <v>240</v>
      </c>
      <c r="F18" s="25" t="s">
        <v>47</v>
      </c>
      <c r="G18" s="25" t="s">
        <v>230</v>
      </c>
      <c r="H18" s="23" t="s">
        <v>243</v>
      </c>
      <c r="I18" s="21" t="s">
        <v>32</v>
      </c>
      <c r="J18" s="21">
        <v>1</v>
      </c>
      <c r="K18" s="21">
        <v>1</v>
      </c>
    </row>
    <row r="19" spans="1:11" s="2" customFormat="1" ht="63" customHeight="1" x14ac:dyDescent="0.2">
      <c r="A19" s="20">
        <f t="shared" si="0"/>
        <v>10</v>
      </c>
      <c r="B19" s="45" t="s">
        <v>90</v>
      </c>
      <c r="C19" s="46" t="s">
        <v>21</v>
      </c>
      <c r="D19" s="24" t="s">
        <v>102</v>
      </c>
      <c r="E19" s="25" t="s">
        <v>241</v>
      </c>
      <c r="F19" s="25" t="s">
        <v>26</v>
      </c>
      <c r="G19" s="25" t="s">
        <v>232</v>
      </c>
      <c r="H19" s="23" t="s">
        <v>243</v>
      </c>
      <c r="I19" s="21" t="s">
        <v>32</v>
      </c>
      <c r="J19" s="21">
        <v>1</v>
      </c>
      <c r="K19" s="21">
        <v>1</v>
      </c>
    </row>
    <row r="20" spans="1:11" s="2" customFormat="1" ht="62.25" customHeight="1" x14ac:dyDescent="0.2">
      <c r="A20" s="20">
        <f t="shared" si="0"/>
        <v>11</v>
      </c>
      <c r="B20" s="45" t="s">
        <v>90</v>
      </c>
      <c r="C20" s="46" t="s">
        <v>21</v>
      </c>
      <c r="D20" s="24" t="s">
        <v>216</v>
      </c>
      <c r="E20" s="25" t="s">
        <v>242</v>
      </c>
      <c r="F20" s="25" t="s">
        <v>223</v>
      </c>
      <c r="G20" s="25" t="s">
        <v>233</v>
      </c>
      <c r="H20" s="23" t="s">
        <v>243</v>
      </c>
      <c r="I20" s="21" t="s">
        <v>32</v>
      </c>
      <c r="J20" s="21">
        <v>1</v>
      </c>
      <c r="K20" s="21">
        <v>2</v>
      </c>
    </row>
    <row r="21" spans="1:11" s="2" customFormat="1" ht="62.25" customHeight="1" x14ac:dyDescent="0.2">
      <c r="A21" s="20">
        <f t="shared" si="0"/>
        <v>12</v>
      </c>
      <c r="B21" s="45" t="s">
        <v>90</v>
      </c>
      <c r="C21" s="46" t="s">
        <v>21</v>
      </c>
      <c r="D21" s="24" t="s">
        <v>586</v>
      </c>
      <c r="E21" s="25" t="s">
        <v>587</v>
      </c>
      <c r="F21" s="38" t="s">
        <v>43</v>
      </c>
      <c r="G21" s="38" t="s">
        <v>636</v>
      </c>
      <c r="H21" s="23" t="s">
        <v>243</v>
      </c>
      <c r="I21" s="21" t="s">
        <v>32</v>
      </c>
      <c r="J21" s="21">
        <v>1</v>
      </c>
      <c r="K21" s="29">
        <v>1</v>
      </c>
    </row>
    <row r="22" spans="1:11" s="2" customFormat="1" ht="62.25" customHeight="1" x14ac:dyDescent="0.2">
      <c r="A22" s="20">
        <f t="shared" si="0"/>
        <v>13</v>
      </c>
      <c r="B22" s="45" t="s">
        <v>90</v>
      </c>
      <c r="C22" s="46" t="s">
        <v>362</v>
      </c>
      <c r="D22" s="24" t="s">
        <v>107</v>
      </c>
      <c r="E22" s="25" t="s">
        <v>93</v>
      </c>
      <c r="F22" s="25" t="s">
        <v>94</v>
      </c>
      <c r="G22" s="25" t="s">
        <v>360</v>
      </c>
      <c r="H22" s="23" t="s">
        <v>361</v>
      </c>
      <c r="I22" s="21" t="s">
        <v>32</v>
      </c>
      <c r="J22" s="21">
        <v>1</v>
      </c>
      <c r="K22" s="21">
        <v>1</v>
      </c>
    </row>
    <row r="23" spans="1:11" s="2" customFormat="1" ht="83.25" customHeight="1" x14ac:dyDescent="0.2">
      <c r="A23" s="20">
        <f t="shared" si="0"/>
        <v>14</v>
      </c>
      <c r="B23" s="45" t="s">
        <v>90</v>
      </c>
      <c r="C23" s="46" t="s">
        <v>245</v>
      </c>
      <c r="D23" s="24" t="s">
        <v>215</v>
      </c>
      <c r="E23" s="25" t="s">
        <v>530</v>
      </c>
      <c r="F23" s="25" t="s">
        <v>48</v>
      </c>
      <c r="G23" s="25" t="s">
        <v>231</v>
      </c>
      <c r="H23" s="23" t="s">
        <v>244</v>
      </c>
      <c r="I23" s="21" t="s">
        <v>32</v>
      </c>
      <c r="J23" s="21">
        <v>1</v>
      </c>
      <c r="K23" s="21">
        <v>1</v>
      </c>
    </row>
    <row r="24" spans="1:11" s="2" customFormat="1" ht="45" customHeight="1" x14ac:dyDescent="0.2">
      <c r="A24" s="20">
        <f t="shared" si="0"/>
        <v>15</v>
      </c>
      <c r="B24" s="45" t="s">
        <v>90</v>
      </c>
      <c r="C24" s="46" t="s">
        <v>70</v>
      </c>
      <c r="D24" s="24" t="s">
        <v>206</v>
      </c>
      <c r="E24" s="25" t="s">
        <v>275</v>
      </c>
      <c r="F24" s="25" t="s">
        <v>253</v>
      </c>
      <c r="G24" s="25" t="s">
        <v>263</v>
      </c>
      <c r="H24" s="23" t="s">
        <v>284</v>
      </c>
      <c r="I24" s="21" t="s">
        <v>32</v>
      </c>
      <c r="J24" s="21">
        <v>1</v>
      </c>
      <c r="K24" s="21">
        <v>9</v>
      </c>
    </row>
    <row r="25" spans="1:11" s="16" customFormat="1" ht="35.25" customHeight="1" x14ac:dyDescent="0.2">
      <c r="A25" s="20">
        <f t="shared" si="0"/>
        <v>16</v>
      </c>
      <c r="B25" s="45" t="s">
        <v>90</v>
      </c>
      <c r="C25" s="46" t="s">
        <v>70</v>
      </c>
      <c r="D25" s="24" t="s">
        <v>246</v>
      </c>
      <c r="E25" s="25" t="s">
        <v>276</v>
      </c>
      <c r="F25" s="25" t="s">
        <v>254</v>
      </c>
      <c r="G25" s="25" t="s">
        <v>264</v>
      </c>
      <c r="H25" s="23" t="s">
        <v>285</v>
      </c>
      <c r="I25" s="21" t="s">
        <v>32</v>
      </c>
      <c r="J25" s="21">
        <v>1</v>
      </c>
      <c r="K25" s="21">
        <v>3</v>
      </c>
    </row>
    <row r="26" spans="1:11" s="2" customFormat="1" ht="49.5" customHeight="1" x14ac:dyDescent="0.2">
      <c r="A26" s="20">
        <f t="shared" si="0"/>
        <v>17</v>
      </c>
      <c r="B26" s="45" t="s">
        <v>90</v>
      </c>
      <c r="C26" s="46" t="s">
        <v>70</v>
      </c>
      <c r="D26" s="24" t="s">
        <v>247</v>
      </c>
      <c r="E26" s="25" t="s">
        <v>277</v>
      </c>
      <c r="F26" s="25" t="s">
        <v>255</v>
      </c>
      <c r="G26" s="25" t="s">
        <v>265</v>
      </c>
      <c r="H26" s="23" t="s">
        <v>286</v>
      </c>
      <c r="I26" s="21" t="s">
        <v>32</v>
      </c>
      <c r="J26" s="21">
        <v>1</v>
      </c>
      <c r="K26" s="21">
        <v>1</v>
      </c>
    </row>
    <row r="27" spans="1:11" s="2" customFormat="1" ht="58.5" customHeight="1" x14ac:dyDescent="0.2">
      <c r="A27" s="20">
        <f t="shared" si="0"/>
        <v>18</v>
      </c>
      <c r="B27" s="45" t="s">
        <v>90</v>
      </c>
      <c r="C27" s="46" t="s">
        <v>70</v>
      </c>
      <c r="D27" s="24" t="s">
        <v>205</v>
      </c>
      <c r="E27" s="25" t="s">
        <v>278</v>
      </c>
      <c r="F27" s="25" t="s">
        <v>256</v>
      </c>
      <c r="G27" s="25" t="s">
        <v>266</v>
      </c>
      <c r="H27" s="23" t="s">
        <v>285</v>
      </c>
      <c r="I27" s="21" t="s">
        <v>32</v>
      </c>
      <c r="J27" s="21">
        <v>1</v>
      </c>
      <c r="K27" s="21">
        <v>16</v>
      </c>
    </row>
    <row r="28" spans="1:11" s="2" customFormat="1" ht="69.75" customHeight="1" x14ac:dyDescent="0.2">
      <c r="A28" s="20">
        <f t="shared" si="0"/>
        <v>19</v>
      </c>
      <c r="B28" s="45" t="s">
        <v>90</v>
      </c>
      <c r="C28" s="46" t="s">
        <v>70</v>
      </c>
      <c r="D28" s="24" t="s">
        <v>108</v>
      </c>
      <c r="E28" s="25" t="s">
        <v>280</v>
      </c>
      <c r="F28" s="25" t="s">
        <v>258</v>
      </c>
      <c r="G28" s="25" t="s">
        <v>268</v>
      </c>
      <c r="H28" s="23" t="s">
        <v>288</v>
      </c>
      <c r="I28" s="21" t="s">
        <v>32</v>
      </c>
      <c r="J28" s="21">
        <v>1</v>
      </c>
      <c r="K28" s="21">
        <v>1</v>
      </c>
    </row>
    <row r="29" spans="1:11" s="2" customFormat="1" ht="58.5" customHeight="1" x14ac:dyDescent="0.2">
      <c r="A29" s="20">
        <f t="shared" si="0"/>
        <v>20</v>
      </c>
      <c r="B29" s="45" t="s">
        <v>90</v>
      </c>
      <c r="C29" s="46" t="s">
        <v>70</v>
      </c>
      <c r="D29" s="24" t="s">
        <v>249</v>
      </c>
      <c r="E29" s="25" t="s">
        <v>281</v>
      </c>
      <c r="F29" s="25" t="s">
        <v>183</v>
      </c>
      <c r="G29" s="25" t="s">
        <v>270</v>
      </c>
      <c r="H29" s="23" t="s">
        <v>284</v>
      </c>
      <c r="I29" s="21" t="s">
        <v>32</v>
      </c>
      <c r="J29" s="21">
        <v>1</v>
      </c>
      <c r="K29" s="21">
        <v>1</v>
      </c>
    </row>
    <row r="30" spans="1:11" s="2" customFormat="1" ht="58.5" customHeight="1" x14ac:dyDescent="0.2">
      <c r="A30" s="20">
        <f t="shared" si="0"/>
        <v>21</v>
      </c>
      <c r="B30" s="45" t="s">
        <v>90</v>
      </c>
      <c r="C30" s="46" t="s">
        <v>70</v>
      </c>
      <c r="D30" s="24" t="s">
        <v>250</v>
      </c>
      <c r="E30" s="25" t="s">
        <v>282</v>
      </c>
      <c r="F30" s="25" t="s">
        <v>260</v>
      </c>
      <c r="G30" s="25" t="s">
        <v>271</v>
      </c>
      <c r="H30" s="23" t="s">
        <v>286</v>
      </c>
      <c r="I30" s="21" t="s">
        <v>32</v>
      </c>
      <c r="J30" s="21">
        <v>1</v>
      </c>
      <c r="K30" s="21">
        <v>6</v>
      </c>
    </row>
    <row r="31" spans="1:11" s="2" customFormat="1" ht="87.75" customHeight="1" x14ac:dyDescent="0.2">
      <c r="A31" s="20">
        <f t="shared" si="0"/>
        <v>22</v>
      </c>
      <c r="B31" s="45" t="s">
        <v>90</v>
      </c>
      <c r="C31" s="46" t="s">
        <v>290</v>
      </c>
      <c r="D31" s="24" t="s">
        <v>36</v>
      </c>
      <c r="E31" s="25" t="s">
        <v>279</v>
      </c>
      <c r="F31" s="25" t="s">
        <v>257</v>
      </c>
      <c r="G31" s="25" t="s">
        <v>267</v>
      </c>
      <c r="H31" s="23" t="s">
        <v>287</v>
      </c>
      <c r="I31" s="21" t="s">
        <v>32</v>
      </c>
      <c r="J31" s="21">
        <v>1</v>
      </c>
      <c r="K31" s="21">
        <v>4</v>
      </c>
    </row>
    <row r="32" spans="1:11" s="16" customFormat="1" ht="86.25" customHeight="1" x14ac:dyDescent="0.2">
      <c r="A32" s="20">
        <f t="shared" si="0"/>
        <v>23</v>
      </c>
      <c r="B32" s="45" t="s">
        <v>90</v>
      </c>
      <c r="C32" s="46" t="s">
        <v>290</v>
      </c>
      <c r="D32" s="24" t="s">
        <v>248</v>
      </c>
      <c r="E32" s="25" t="s">
        <v>637</v>
      </c>
      <c r="F32" s="25" t="s">
        <v>259</v>
      </c>
      <c r="G32" s="25" t="s">
        <v>269</v>
      </c>
      <c r="H32" s="23" t="s">
        <v>287</v>
      </c>
      <c r="I32" s="21" t="s">
        <v>32</v>
      </c>
      <c r="J32" s="21">
        <v>1</v>
      </c>
      <c r="K32" s="21">
        <v>1</v>
      </c>
    </row>
    <row r="33" spans="1:11" s="16" customFormat="1" ht="83.25" customHeight="1" x14ac:dyDescent="0.2">
      <c r="A33" s="20">
        <f t="shared" si="0"/>
        <v>24</v>
      </c>
      <c r="B33" s="45" t="s">
        <v>90</v>
      </c>
      <c r="C33" s="46" t="s">
        <v>290</v>
      </c>
      <c r="D33" s="24" t="s">
        <v>252</v>
      </c>
      <c r="E33" s="25" t="s">
        <v>283</v>
      </c>
      <c r="F33" s="25" t="s">
        <v>262</v>
      </c>
      <c r="G33" s="25" t="s">
        <v>273</v>
      </c>
      <c r="H33" s="23" t="s">
        <v>287</v>
      </c>
      <c r="I33" s="21" t="s">
        <v>32</v>
      </c>
      <c r="J33" s="21">
        <v>1</v>
      </c>
      <c r="K33" s="21">
        <v>2</v>
      </c>
    </row>
    <row r="34" spans="1:11" s="15" customFormat="1" ht="67.5" customHeight="1" x14ac:dyDescent="0.2">
      <c r="A34" s="20">
        <f t="shared" si="0"/>
        <v>25</v>
      </c>
      <c r="B34" s="45" t="s">
        <v>90</v>
      </c>
      <c r="C34" s="46" t="s">
        <v>291</v>
      </c>
      <c r="D34" s="24" t="s">
        <v>251</v>
      </c>
      <c r="E34" s="25" t="s">
        <v>274</v>
      </c>
      <c r="F34" s="25" t="s">
        <v>261</v>
      </c>
      <c r="G34" s="25" t="s">
        <v>272</v>
      </c>
      <c r="H34" s="23" t="s">
        <v>289</v>
      </c>
      <c r="I34" s="21" t="s">
        <v>32</v>
      </c>
      <c r="J34" s="21">
        <v>1</v>
      </c>
      <c r="K34" s="21">
        <v>4</v>
      </c>
    </row>
    <row r="35" spans="1:11" s="15" customFormat="1" ht="46.5" customHeight="1" x14ac:dyDescent="0.2">
      <c r="A35" s="20">
        <f t="shared" si="0"/>
        <v>26</v>
      </c>
      <c r="B35" s="45" t="s">
        <v>90</v>
      </c>
      <c r="C35" s="46" t="s">
        <v>293</v>
      </c>
      <c r="D35" s="24" t="s">
        <v>292</v>
      </c>
      <c r="E35" s="25" t="s">
        <v>305</v>
      </c>
      <c r="F35" s="25" t="s">
        <v>294</v>
      </c>
      <c r="G35" s="25" t="s">
        <v>299</v>
      </c>
      <c r="H35" s="23" t="s">
        <v>306</v>
      </c>
      <c r="I35" s="21" t="s">
        <v>32</v>
      </c>
      <c r="J35" s="21">
        <v>1</v>
      </c>
      <c r="K35" s="21">
        <v>3</v>
      </c>
    </row>
    <row r="36" spans="1:11" s="15" customFormat="1" ht="45" customHeight="1" x14ac:dyDescent="0.2">
      <c r="A36" s="20">
        <f t="shared" si="0"/>
        <v>27</v>
      </c>
      <c r="B36" s="45" t="s">
        <v>90</v>
      </c>
      <c r="C36" s="46" t="s">
        <v>293</v>
      </c>
      <c r="D36" s="24" t="s">
        <v>78</v>
      </c>
      <c r="E36" s="25" t="s">
        <v>51</v>
      </c>
      <c r="F36" s="25" t="s">
        <v>295</v>
      </c>
      <c r="G36" s="25" t="s">
        <v>300</v>
      </c>
      <c r="H36" s="23" t="s">
        <v>307</v>
      </c>
      <c r="I36" s="21" t="s">
        <v>32</v>
      </c>
      <c r="J36" s="21">
        <v>1</v>
      </c>
      <c r="K36" s="21">
        <v>3</v>
      </c>
    </row>
    <row r="37" spans="1:11" s="2" customFormat="1" ht="47.25" customHeight="1" x14ac:dyDescent="0.2">
      <c r="A37" s="20">
        <f t="shared" si="0"/>
        <v>28</v>
      </c>
      <c r="B37" s="45" t="s">
        <v>90</v>
      </c>
      <c r="C37" s="46" t="s">
        <v>293</v>
      </c>
      <c r="D37" s="24" t="s">
        <v>109</v>
      </c>
      <c r="E37" s="25" t="s">
        <v>91</v>
      </c>
      <c r="F37" s="25" t="s">
        <v>296</v>
      </c>
      <c r="G37" s="25" t="s">
        <v>301</v>
      </c>
      <c r="H37" s="23" t="s">
        <v>308</v>
      </c>
      <c r="I37" s="21" t="s">
        <v>32</v>
      </c>
      <c r="J37" s="21">
        <v>1</v>
      </c>
      <c r="K37" s="21">
        <v>3</v>
      </c>
    </row>
    <row r="38" spans="1:11" s="2" customFormat="1" ht="52.5" customHeight="1" x14ac:dyDescent="0.2">
      <c r="A38" s="20">
        <f t="shared" si="0"/>
        <v>29</v>
      </c>
      <c r="B38" s="45" t="s">
        <v>90</v>
      </c>
      <c r="C38" s="46" t="s">
        <v>293</v>
      </c>
      <c r="D38" s="24" t="s">
        <v>111</v>
      </c>
      <c r="E38" s="25" t="s">
        <v>304</v>
      </c>
      <c r="F38" s="25" t="s">
        <v>297</v>
      </c>
      <c r="G38" s="25" t="s">
        <v>302</v>
      </c>
      <c r="H38" s="23" t="s">
        <v>308</v>
      </c>
      <c r="I38" s="21" t="s">
        <v>32</v>
      </c>
      <c r="J38" s="21">
        <v>1</v>
      </c>
      <c r="K38" s="21">
        <v>3</v>
      </c>
    </row>
    <row r="39" spans="1:11" s="6" customFormat="1" ht="61.5" customHeight="1" x14ac:dyDescent="0.2">
      <c r="A39" s="20">
        <f t="shared" si="0"/>
        <v>30</v>
      </c>
      <c r="B39" s="45" t="s">
        <v>90</v>
      </c>
      <c r="C39" s="46" t="s">
        <v>293</v>
      </c>
      <c r="D39" s="24" t="s">
        <v>37</v>
      </c>
      <c r="E39" s="25" t="s">
        <v>33</v>
      </c>
      <c r="F39" s="25" t="s">
        <v>298</v>
      </c>
      <c r="G39" s="25" t="s">
        <v>303</v>
      </c>
      <c r="H39" s="23" t="s">
        <v>309</v>
      </c>
      <c r="I39" s="21" t="s">
        <v>32</v>
      </c>
      <c r="J39" s="21">
        <v>1</v>
      </c>
      <c r="K39" s="21">
        <v>2</v>
      </c>
    </row>
    <row r="40" spans="1:11" s="6" customFormat="1" ht="61.5" customHeight="1" x14ac:dyDescent="0.2">
      <c r="A40" s="20">
        <f t="shared" si="0"/>
        <v>31</v>
      </c>
      <c r="B40" s="45" t="s">
        <v>90</v>
      </c>
      <c r="C40" s="46" t="s">
        <v>310</v>
      </c>
      <c r="D40" s="24" t="s">
        <v>191</v>
      </c>
      <c r="E40" s="25" t="s">
        <v>175</v>
      </c>
      <c r="F40" s="25" t="s">
        <v>60</v>
      </c>
      <c r="G40" s="25" t="s">
        <v>311</v>
      </c>
      <c r="H40" s="23" t="s">
        <v>313</v>
      </c>
      <c r="I40" s="21" t="s">
        <v>32</v>
      </c>
      <c r="J40" s="21">
        <v>1</v>
      </c>
      <c r="K40" s="21">
        <v>1</v>
      </c>
    </row>
    <row r="41" spans="1:11" s="6" customFormat="1" ht="61.5" customHeight="1" x14ac:dyDescent="0.2">
      <c r="A41" s="20">
        <f t="shared" si="0"/>
        <v>32</v>
      </c>
      <c r="B41" s="45" t="s">
        <v>90</v>
      </c>
      <c r="C41" s="46" t="s">
        <v>310</v>
      </c>
      <c r="D41" s="24" t="s">
        <v>190</v>
      </c>
      <c r="E41" s="25" t="s">
        <v>176</v>
      </c>
      <c r="F41" s="25" t="s">
        <v>61</v>
      </c>
      <c r="G41" s="25" t="s">
        <v>312</v>
      </c>
      <c r="H41" s="23" t="s">
        <v>313</v>
      </c>
      <c r="I41" s="21" t="s">
        <v>32</v>
      </c>
      <c r="J41" s="21">
        <v>1</v>
      </c>
      <c r="K41" s="21">
        <v>1</v>
      </c>
    </row>
    <row r="42" spans="1:11" s="4" customFormat="1" ht="35.25" customHeight="1" x14ac:dyDescent="0.2">
      <c r="A42" s="20">
        <f t="shared" si="0"/>
        <v>33</v>
      </c>
      <c r="B42" s="45" t="s">
        <v>90</v>
      </c>
      <c r="C42" s="46" t="s">
        <v>25</v>
      </c>
      <c r="D42" s="24" t="s">
        <v>79</v>
      </c>
      <c r="E42" s="25" t="s">
        <v>122</v>
      </c>
      <c r="F42" s="25" t="s">
        <v>44</v>
      </c>
      <c r="G42" s="25" t="s">
        <v>55</v>
      </c>
      <c r="H42" s="23" t="s">
        <v>317</v>
      </c>
      <c r="I42" s="21" t="s">
        <v>32</v>
      </c>
      <c r="J42" s="21">
        <v>1</v>
      </c>
      <c r="K42" s="10">
        <v>1</v>
      </c>
    </row>
    <row r="43" spans="1:11" s="4" customFormat="1" ht="36" customHeight="1" x14ac:dyDescent="0.2">
      <c r="A43" s="20">
        <f t="shared" si="0"/>
        <v>34</v>
      </c>
      <c r="B43" s="45" t="s">
        <v>90</v>
      </c>
      <c r="C43" s="46" t="s">
        <v>25</v>
      </c>
      <c r="D43" s="24" t="s">
        <v>80</v>
      </c>
      <c r="E43" s="25" t="s">
        <v>126</v>
      </c>
      <c r="F43" s="25" t="s">
        <v>27</v>
      </c>
      <c r="G43" s="25" t="s">
        <v>56</v>
      </c>
      <c r="H43" s="23" t="s">
        <v>318</v>
      </c>
      <c r="I43" s="21" t="s">
        <v>32</v>
      </c>
      <c r="J43" s="21">
        <v>1</v>
      </c>
      <c r="K43" s="21">
        <v>1</v>
      </c>
    </row>
    <row r="44" spans="1:11" ht="33" customHeight="1" x14ac:dyDescent="0.2">
      <c r="A44" s="20">
        <f t="shared" si="0"/>
        <v>35</v>
      </c>
      <c r="B44" s="45" t="s">
        <v>90</v>
      </c>
      <c r="C44" s="46" t="s">
        <v>25</v>
      </c>
      <c r="D44" s="24" t="s">
        <v>81</v>
      </c>
      <c r="E44" s="25" t="s">
        <v>127</v>
      </c>
      <c r="F44" s="25" t="s">
        <v>52</v>
      </c>
      <c r="G44" s="25" t="s">
        <v>57</v>
      </c>
      <c r="H44" s="23" t="s">
        <v>318</v>
      </c>
      <c r="I44" s="21" t="s">
        <v>32</v>
      </c>
      <c r="J44" s="21">
        <v>1</v>
      </c>
      <c r="K44" s="21">
        <v>1</v>
      </c>
    </row>
    <row r="45" spans="1:11" ht="33" customHeight="1" x14ac:dyDescent="0.2">
      <c r="A45" s="20">
        <f t="shared" si="0"/>
        <v>36</v>
      </c>
      <c r="B45" s="45" t="s">
        <v>90</v>
      </c>
      <c r="C45" s="46" t="s">
        <v>25</v>
      </c>
      <c r="D45" s="24" t="s">
        <v>110</v>
      </c>
      <c r="E45" s="25" t="s">
        <v>315</v>
      </c>
      <c r="F45" s="25" t="s">
        <v>53</v>
      </c>
      <c r="G45" s="25" t="s">
        <v>58</v>
      </c>
      <c r="H45" s="23" t="s">
        <v>319</v>
      </c>
      <c r="I45" s="21" t="s">
        <v>32</v>
      </c>
      <c r="J45" s="21">
        <v>1</v>
      </c>
      <c r="K45" s="21">
        <v>1</v>
      </c>
    </row>
    <row r="46" spans="1:11" ht="32.25" customHeight="1" x14ac:dyDescent="0.2">
      <c r="A46" s="20">
        <f t="shared" si="0"/>
        <v>37</v>
      </c>
      <c r="B46" s="45" t="s">
        <v>90</v>
      </c>
      <c r="C46" s="46" t="s">
        <v>25</v>
      </c>
      <c r="D46" s="24" t="s">
        <v>82</v>
      </c>
      <c r="E46" s="25" t="s">
        <v>316</v>
      </c>
      <c r="F46" s="25" t="s">
        <v>54</v>
      </c>
      <c r="G46" s="25" t="s">
        <v>314</v>
      </c>
      <c r="H46" s="23" t="s">
        <v>317</v>
      </c>
      <c r="I46" s="21" t="s">
        <v>32</v>
      </c>
      <c r="J46" s="21">
        <v>1</v>
      </c>
      <c r="K46" s="21">
        <v>1</v>
      </c>
    </row>
    <row r="47" spans="1:11" ht="51" customHeight="1" x14ac:dyDescent="0.2">
      <c r="A47" s="20">
        <f t="shared" si="0"/>
        <v>38</v>
      </c>
      <c r="B47" s="45" t="s">
        <v>90</v>
      </c>
      <c r="C47" s="46" t="s">
        <v>35</v>
      </c>
      <c r="D47" s="24" t="s">
        <v>39</v>
      </c>
      <c r="E47" s="25" t="s">
        <v>321</v>
      </c>
      <c r="F47" s="25" t="s">
        <v>320</v>
      </c>
      <c r="G47" s="25" t="s">
        <v>638</v>
      </c>
      <c r="H47" s="23" t="s">
        <v>322</v>
      </c>
      <c r="I47" s="21" t="s">
        <v>32</v>
      </c>
      <c r="J47" s="21">
        <v>1</v>
      </c>
      <c r="K47" s="10">
        <v>1</v>
      </c>
    </row>
    <row r="48" spans="1:11" ht="62.25" customHeight="1" x14ac:dyDescent="0.2">
      <c r="A48" s="20">
        <f t="shared" si="0"/>
        <v>39</v>
      </c>
      <c r="B48" s="45" t="s">
        <v>90</v>
      </c>
      <c r="C48" s="46" t="s">
        <v>35</v>
      </c>
      <c r="D48" s="24" t="s">
        <v>40</v>
      </c>
      <c r="E48" s="25" t="s">
        <v>324</v>
      </c>
      <c r="F48" s="25" t="s">
        <v>323</v>
      </c>
      <c r="G48" s="25" t="s">
        <v>639</v>
      </c>
      <c r="H48" s="23" t="s">
        <v>322</v>
      </c>
      <c r="I48" s="21" t="s">
        <v>32</v>
      </c>
      <c r="J48" s="21">
        <v>1</v>
      </c>
      <c r="K48" s="10">
        <v>1</v>
      </c>
    </row>
    <row r="49" spans="1:11" ht="46.5" customHeight="1" x14ac:dyDescent="0.2">
      <c r="A49" s="20">
        <f t="shared" si="0"/>
        <v>40</v>
      </c>
      <c r="B49" s="45" t="s">
        <v>90</v>
      </c>
      <c r="C49" s="46" t="s">
        <v>23</v>
      </c>
      <c r="D49" s="24" t="s">
        <v>38</v>
      </c>
      <c r="E49" s="25" t="s">
        <v>640</v>
      </c>
      <c r="F49" s="25" t="s">
        <v>325</v>
      </c>
      <c r="G49" s="25" t="s">
        <v>326</v>
      </c>
      <c r="H49" s="23" t="s">
        <v>322</v>
      </c>
      <c r="I49" s="21" t="s">
        <v>32</v>
      </c>
      <c r="J49" s="21">
        <v>1</v>
      </c>
      <c r="K49" s="10">
        <v>2</v>
      </c>
    </row>
    <row r="50" spans="1:11" ht="46.5" customHeight="1" x14ac:dyDescent="0.2">
      <c r="A50" s="20">
        <f t="shared" si="0"/>
        <v>41</v>
      </c>
      <c r="B50" s="45" t="s">
        <v>90</v>
      </c>
      <c r="C50" s="46" t="s">
        <v>24</v>
      </c>
      <c r="D50" s="24" t="s">
        <v>41</v>
      </c>
      <c r="E50" s="25" t="s">
        <v>330</v>
      </c>
      <c r="F50" s="25" t="s">
        <v>327</v>
      </c>
      <c r="G50" s="25" t="s">
        <v>328</v>
      </c>
      <c r="H50" s="23" t="s">
        <v>308</v>
      </c>
      <c r="I50" s="21" t="s">
        <v>32</v>
      </c>
      <c r="J50" s="21">
        <v>1</v>
      </c>
      <c r="K50" s="10">
        <v>6</v>
      </c>
    </row>
    <row r="51" spans="1:11" ht="59.25" customHeight="1" x14ac:dyDescent="0.2">
      <c r="A51" s="20">
        <f t="shared" si="0"/>
        <v>42</v>
      </c>
      <c r="B51" s="45" t="s">
        <v>90</v>
      </c>
      <c r="C51" s="46" t="s">
        <v>24</v>
      </c>
      <c r="D51" s="24" t="s">
        <v>42</v>
      </c>
      <c r="E51" s="25" t="s">
        <v>331</v>
      </c>
      <c r="F51" s="25" t="s">
        <v>62</v>
      </c>
      <c r="G51" s="25" t="s">
        <v>329</v>
      </c>
      <c r="H51" s="23" t="s">
        <v>308</v>
      </c>
      <c r="I51" s="21" t="s">
        <v>32</v>
      </c>
      <c r="J51" s="21">
        <v>1</v>
      </c>
      <c r="K51" s="10">
        <v>1</v>
      </c>
    </row>
    <row r="52" spans="1:11" ht="28.5" customHeight="1" x14ac:dyDescent="0.2">
      <c r="A52" s="20">
        <f t="shared" si="0"/>
        <v>43</v>
      </c>
      <c r="B52" s="45" t="s">
        <v>90</v>
      </c>
      <c r="C52" s="46" t="s">
        <v>31</v>
      </c>
      <c r="D52" s="24" t="s">
        <v>117</v>
      </c>
      <c r="E52" s="25" t="s">
        <v>641</v>
      </c>
      <c r="F52" s="25" t="s">
        <v>92</v>
      </c>
      <c r="G52" s="25" t="s">
        <v>115</v>
      </c>
      <c r="H52" s="23" t="s">
        <v>649</v>
      </c>
      <c r="I52" s="21" t="s">
        <v>32</v>
      </c>
      <c r="J52" s="21">
        <v>1</v>
      </c>
      <c r="K52" s="10">
        <v>1</v>
      </c>
    </row>
    <row r="53" spans="1:11" ht="41.25" customHeight="1" x14ac:dyDescent="0.2">
      <c r="A53" s="20">
        <f t="shared" si="0"/>
        <v>44</v>
      </c>
      <c r="B53" s="45" t="s">
        <v>90</v>
      </c>
      <c r="C53" s="46" t="s">
        <v>31</v>
      </c>
      <c r="D53" s="24" t="s">
        <v>631</v>
      </c>
      <c r="E53" s="25" t="s">
        <v>642</v>
      </c>
      <c r="F53" s="25" t="s">
        <v>332</v>
      </c>
      <c r="G53" s="25" t="s">
        <v>643</v>
      </c>
      <c r="H53" s="23" t="s">
        <v>650</v>
      </c>
      <c r="I53" s="21" t="s">
        <v>32</v>
      </c>
      <c r="J53" s="21">
        <v>1</v>
      </c>
      <c r="K53" s="10">
        <v>1</v>
      </c>
    </row>
    <row r="54" spans="1:11" s="4" customFormat="1" ht="28.5" customHeight="1" x14ac:dyDescent="0.2">
      <c r="A54" s="20">
        <f t="shared" si="0"/>
        <v>45</v>
      </c>
      <c r="B54" s="45" t="s">
        <v>90</v>
      </c>
      <c r="C54" s="46" t="s">
        <v>31</v>
      </c>
      <c r="D54" s="24" t="s">
        <v>116</v>
      </c>
      <c r="E54" s="25" t="s">
        <v>336</v>
      </c>
      <c r="F54" s="25" t="s">
        <v>333</v>
      </c>
      <c r="G54" s="25" t="s">
        <v>334</v>
      </c>
      <c r="H54" s="23" t="s">
        <v>337</v>
      </c>
      <c r="I54" s="21" t="s">
        <v>32</v>
      </c>
      <c r="J54" s="21">
        <v>1</v>
      </c>
      <c r="K54" s="10">
        <v>2</v>
      </c>
    </row>
    <row r="55" spans="1:11" s="4" customFormat="1" ht="36" customHeight="1" x14ac:dyDescent="0.2">
      <c r="A55" s="20">
        <f t="shared" si="0"/>
        <v>46</v>
      </c>
      <c r="B55" s="45" t="s">
        <v>90</v>
      </c>
      <c r="C55" s="46" t="s">
        <v>30</v>
      </c>
      <c r="D55" s="24" t="s">
        <v>112</v>
      </c>
      <c r="E55" s="25" t="s">
        <v>644</v>
      </c>
      <c r="F55" s="25" t="s">
        <v>63</v>
      </c>
      <c r="G55" s="25" t="s">
        <v>338</v>
      </c>
      <c r="H55" s="23" t="s">
        <v>651</v>
      </c>
      <c r="I55" s="21" t="s">
        <v>32</v>
      </c>
      <c r="J55" s="21">
        <v>1</v>
      </c>
      <c r="K55" s="10">
        <v>1</v>
      </c>
    </row>
    <row r="56" spans="1:11" ht="41.25" customHeight="1" x14ac:dyDescent="0.2">
      <c r="A56" s="20">
        <f t="shared" si="0"/>
        <v>47</v>
      </c>
      <c r="B56" s="45" t="s">
        <v>90</v>
      </c>
      <c r="C56" s="46" t="s">
        <v>64</v>
      </c>
      <c r="D56" s="24" t="s">
        <v>113</v>
      </c>
      <c r="E56" s="25" t="s">
        <v>645</v>
      </c>
      <c r="F56" s="25" t="s">
        <v>65</v>
      </c>
      <c r="G56" s="25" t="s">
        <v>339</v>
      </c>
      <c r="H56" s="23" t="s">
        <v>652</v>
      </c>
      <c r="I56" s="21" t="s">
        <v>32</v>
      </c>
      <c r="J56" s="21">
        <v>1</v>
      </c>
      <c r="K56" s="10">
        <v>1</v>
      </c>
    </row>
    <row r="57" spans="1:11" s="4" customFormat="1" ht="65.25" customHeight="1" x14ac:dyDescent="0.2">
      <c r="A57" s="20">
        <f t="shared" si="0"/>
        <v>48</v>
      </c>
      <c r="B57" s="45" t="s">
        <v>90</v>
      </c>
      <c r="C57" s="46" t="s">
        <v>67</v>
      </c>
      <c r="D57" s="24" t="s">
        <v>83</v>
      </c>
      <c r="E57" s="25" t="s">
        <v>344</v>
      </c>
      <c r="F57" s="25" t="s">
        <v>340</v>
      </c>
      <c r="G57" s="25" t="s">
        <v>342</v>
      </c>
      <c r="H57" s="23" t="s">
        <v>346</v>
      </c>
      <c r="I57" s="21" t="s">
        <v>32</v>
      </c>
      <c r="J57" s="21">
        <v>1</v>
      </c>
      <c r="K57" s="10">
        <v>4</v>
      </c>
    </row>
    <row r="58" spans="1:11" s="17" customFormat="1" ht="59.25" customHeight="1" x14ac:dyDescent="0.2">
      <c r="A58" s="20">
        <f t="shared" si="0"/>
        <v>49</v>
      </c>
      <c r="B58" s="45" t="s">
        <v>90</v>
      </c>
      <c r="C58" s="46" t="s">
        <v>67</v>
      </c>
      <c r="D58" s="24" t="s">
        <v>84</v>
      </c>
      <c r="E58" s="25" t="s">
        <v>345</v>
      </c>
      <c r="F58" s="25" t="s">
        <v>341</v>
      </c>
      <c r="G58" s="25" t="s">
        <v>343</v>
      </c>
      <c r="H58" s="23" t="s">
        <v>347</v>
      </c>
      <c r="I58" s="21" t="s">
        <v>32</v>
      </c>
      <c r="J58" s="21">
        <v>1</v>
      </c>
      <c r="K58" s="10">
        <v>3</v>
      </c>
    </row>
    <row r="59" spans="1:11" ht="34.5" customHeight="1" x14ac:dyDescent="0.2">
      <c r="A59" s="20">
        <f t="shared" si="0"/>
        <v>50</v>
      </c>
      <c r="B59" s="45" t="s">
        <v>90</v>
      </c>
      <c r="C59" s="46" t="s">
        <v>196</v>
      </c>
      <c r="D59" s="24" t="s">
        <v>171</v>
      </c>
      <c r="E59" s="25" t="s">
        <v>352</v>
      </c>
      <c r="F59" s="25" t="s">
        <v>169</v>
      </c>
      <c r="G59" s="25" t="s">
        <v>350</v>
      </c>
      <c r="H59" s="23" t="s">
        <v>354</v>
      </c>
      <c r="I59" s="21" t="s">
        <v>32</v>
      </c>
      <c r="J59" s="21">
        <v>1</v>
      </c>
      <c r="K59" s="10">
        <v>1</v>
      </c>
    </row>
    <row r="60" spans="1:11" ht="32.25" customHeight="1" x14ac:dyDescent="0.2">
      <c r="A60" s="20">
        <f t="shared" si="0"/>
        <v>51</v>
      </c>
      <c r="B60" s="45" t="s">
        <v>90</v>
      </c>
      <c r="C60" s="46" t="s">
        <v>196</v>
      </c>
      <c r="D60" s="24" t="s">
        <v>348</v>
      </c>
      <c r="E60" s="25" t="s">
        <v>353</v>
      </c>
      <c r="F60" s="25" t="s">
        <v>349</v>
      </c>
      <c r="G60" s="25" t="s">
        <v>351</v>
      </c>
      <c r="H60" s="23" t="s">
        <v>355</v>
      </c>
      <c r="I60" s="21" t="s">
        <v>32</v>
      </c>
      <c r="J60" s="21">
        <v>1</v>
      </c>
      <c r="K60" s="10">
        <v>1</v>
      </c>
    </row>
    <row r="61" spans="1:11" s="17" customFormat="1" ht="25.5" customHeight="1" x14ac:dyDescent="0.2">
      <c r="A61" s="20">
        <f t="shared" si="0"/>
        <v>52</v>
      </c>
      <c r="B61" s="45" t="s">
        <v>90</v>
      </c>
      <c r="C61" s="46" t="s">
        <v>29</v>
      </c>
      <c r="D61" s="24" t="s">
        <v>130</v>
      </c>
      <c r="E61" s="25" t="s">
        <v>129</v>
      </c>
      <c r="F61" s="25" t="s">
        <v>28</v>
      </c>
      <c r="G61" s="25" t="s">
        <v>131</v>
      </c>
      <c r="H61" s="23" t="s">
        <v>335</v>
      </c>
      <c r="I61" s="21" t="s">
        <v>32</v>
      </c>
      <c r="J61" s="21">
        <v>1</v>
      </c>
      <c r="K61" s="21">
        <v>1</v>
      </c>
    </row>
    <row r="62" spans="1:11" s="4" customFormat="1" ht="33" customHeight="1" x14ac:dyDescent="0.2">
      <c r="A62" s="20">
        <f t="shared" si="0"/>
        <v>53</v>
      </c>
      <c r="B62" s="45" t="s">
        <v>90</v>
      </c>
      <c r="C62" s="46" t="s">
        <v>68</v>
      </c>
      <c r="D62" s="24" t="s">
        <v>114</v>
      </c>
      <c r="E62" s="25" t="s">
        <v>356</v>
      </c>
      <c r="F62" s="25" t="s">
        <v>96</v>
      </c>
      <c r="G62" s="25" t="s">
        <v>646</v>
      </c>
      <c r="H62" s="23" t="s">
        <v>358</v>
      </c>
      <c r="I62" s="21" t="s">
        <v>32</v>
      </c>
      <c r="J62" s="21">
        <v>1</v>
      </c>
      <c r="K62" s="21">
        <v>1</v>
      </c>
    </row>
    <row r="63" spans="1:11" ht="42" customHeight="1" x14ac:dyDescent="0.2">
      <c r="A63" s="20">
        <f t="shared" si="0"/>
        <v>54</v>
      </c>
      <c r="B63" s="45" t="s">
        <v>90</v>
      </c>
      <c r="C63" s="46" t="s">
        <v>68</v>
      </c>
      <c r="D63" s="24" t="s">
        <v>119</v>
      </c>
      <c r="E63" s="25" t="s">
        <v>357</v>
      </c>
      <c r="F63" s="25" t="s">
        <v>95</v>
      </c>
      <c r="G63" s="25" t="s">
        <v>123</v>
      </c>
      <c r="H63" s="23" t="s">
        <v>98</v>
      </c>
      <c r="I63" s="21" t="s">
        <v>32</v>
      </c>
      <c r="J63" s="21">
        <v>1</v>
      </c>
      <c r="K63" s="21">
        <v>1</v>
      </c>
    </row>
    <row r="64" spans="1:11" ht="42" customHeight="1" x14ac:dyDescent="0.2">
      <c r="A64" s="20">
        <f t="shared" si="0"/>
        <v>55</v>
      </c>
      <c r="B64" s="45" t="s">
        <v>90</v>
      </c>
      <c r="C64" s="46" t="s">
        <v>570</v>
      </c>
      <c r="D64" s="24" t="s">
        <v>571</v>
      </c>
      <c r="E64" s="25" t="s">
        <v>572</v>
      </c>
      <c r="F64" s="28" t="s">
        <v>647</v>
      </c>
      <c r="G64" s="28" t="s">
        <v>648</v>
      </c>
      <c r="H64" s="23"/>
      <c r="I64" s="21" t="s">
        <v>32</v>
      </c>
      <c r="J64" s="21">
        <v>1</v>
      </c>
      <c r="K64" s="29">
        <v>2</v>
      </c>
    </row>
    <row r="65" spans="1:11" s="17" customFormat="1" ht="28.5" customHeight="1" x14ac:dyDescent="0.2">
      <c r="A65" s="20">
        <f t="shared" si="0"/>
        <v>56</v>
      </c>
      <c r="B65" s="45" t="s">
        <v>90</v>
      </c>
      <c r="C65" s="46" t="s">
        <v>97</v>
      </c>
      <c r="D65" s="24" t="s">
        <v>598</v>
      </c>
      <c r="E65" s="25" t="s">
        <v>597</v>
      </c>
      <c r="F65" s="38" t="s">
        <v>359</v>
      </c>
      <c r="G65" s="38" t="s">
        <v>597</v>
      </c>
      <c r="H65" s="23" t="s">
        <v>335</v>
      </c>
      <c r="I65" s="29" t="s">
        <v>32</v>
      </c>
      <c r="J65" s="29">
        <v>1</v>
      </c>
      <c r="K65" s="29">
        <v>1</v>
      </c>
    </row>
    <row r="66" spans="1:11" s="17" customFormat="1" ht="55.5" customHeight="1" x14ac:dyDescent="0.2">
      <c r="A66" s="20">
        <f t="shared" si="0"/>
        <v>57</v>
      </c>
      <c r="B66" s="45" t="s">
        <v>526</v>
      </c>
      <c r="C66" s="46" t="s">
        <v>69</v>
      </c>
      <c r="D66" s="24" t="s">
        <v>103</v>
      </c>
      <c r="E66" s="25" t="s">
        <v>364</v>
      </c>
      <c r="F66" s="25" t="s">
        <v>519</v>
      </c>
      <c r="G66" s="25" t="s">
        <v>363</v>
      </c>
      <c r="H66" s="23" t="s">
        <v>243</v>
      </c>
      <c r="I66" s="29" t="s">
        <v>32</v>
      </c>
      <c r="J66" s="29">
        <v>1</v>
      </c>
      <c r="K66" s="21">
        <v>2</v>
      </c>
    </row>
    <row r="67" spans="1:11" s="17" customFormat="1" ht="47.25" customHeight="1" x14ac:dyDescent="0.2">
      <c r="A67" s="20">
        <f t="shared" si="0"/>
        <v>58</v>
      </c>
      <c r="B67" s="45" t="s">
        <v>526</v>
      </c>
      <c r="C67" s="46" t="s">
        <v>69</v>
      </c>
      <c r="D67" s="24" t="s">
        <v>104</v>
      </c>
      <c r="E67" s="25" t="s">
        <v>371</v>
      </c>
      <c r="F67" s="25" t="s">
        <v>520</v>
      </c>
      <c r="G67" s="25" t="s">
        <v>368</v>
      </c>
      <c r="H67" s="23" t="s">
        <v>243</v>
      </c>
      <c r="I67" s="29" t="s">
        <v>32</v>
      </c>
      <c r="J67" s="29">
        <v>1</v>
      </c>
      <c r="K67" s="29">
        <v>2</v>
      </c>
    </row>
    <row r="68" spans="1:11" s="17" customFormat="1" ht="54" customHeight="1" x14ac:dyDescent="0.2">
      <c r="A68" s="20">
        <f t="shared" si="0"/>
        <v>59</v>
      </c>
      <c r="B68" s="45" t="s">
        <v>526</v>
      </c>
      <c r="C68" s="46" t="s">
        <v>69</v>
      </c>
      <c r="D68" s="24" t="s">
        <v>77</v>
      </c>
      <c r="E68" s="25" t="s">
        <v>431</v>
      </c>
      <c r="F68" s="25" t="s">
        <v>34</v>
      </c>
      <c r="G68" s="25" t="s">
        <v>427</v>
      </c>
      <c r="H68" s="23" t="s">
        <v>243</v>
      </c>
      <c r="I68" s="29" t="s">
        <v>32</v>
      </c>
      <c r="J68" s="29">
        <v>1</v>
      </c>
      <c r="K68" s="29">
        <v>1</v>
      </c>
    </row>
    <row r="69" spans="1:11" s="17" customFormat="1" ht="53.25" customHeight="1" x14ac:dyDescent="0.2">
      <c r="A69" s="20">
        <f t="shared" si="0"/>
        <v>60</v>
      </c>
      <c r="B69" s="45" t="s">
        <v>526</v>
      </c>
      <c r="C69" s="46" t="s">
        <v>69</v>
      </c>
      <c r="D69" s="24" t="s">
        <v>365</v>
      </c>
      <c r="E69" s="25" t="s">
        <v>372</v>
      </c>
      <c r="F69" s="25" t="s">
        <v>71</v>
      </c>
      <c r="G69" s="25" t="s">
        <v>369</v>
      </c>
      <c r="H69" s="23" t="s">
        <v>243</v>
      </c>
      <c r="I69" s="29" t="s">
        <v>32</v>
      </c>
      <c r="J69" s="29">
        <v>1</v>
      </c>
      <c r="K69" s="29">
        <v>1</v>
      </c>
    </row>
    <row r="70" spans="1:11" s="17" customFormat="1" ht="62.25" customHeight="1" x14ac:dyDescent="0.2">
      <c r="A70" s="20">
        <f t="shared" si="0"/>
        <v>61</v>
      </c>
      <c r="B70" s="45" t="s">
        <v>526</v>
      </c>
      <c r="C70" s="46" t="s">
        <v>69</v>
      </c>
      <c r="D70" s="24" t="s">
        <v>132</v>
      </c>
      <c r="E70" s="25" t="s">
        <v>373</v>
      </c>
      <c r="F70" s="25" t="s">
        <v>366</v>
      </c>
      <c r="G70" s="25" t="s">
        <v>370</v>
      </c>
      <c r="H70" s="23" t="s">
        <v>243</v>
      </c>
      <c r="I70" s="29" t="s">
        <v>32</v>
      </c>
      <c r="J70" s="29">
        <v>1</v>
      </c>
      <c r="K70" s="29">
        <v>1</v>
      </c>
    </row>
    <row r="71" spans="1:11" s="17" customFormat="1" ht="55.5" customHeight="1" x14ac:dyDescent="0.2">
      <c r="A71" s="20">
        <f t="shared" si="0"/>
        <v>62</v>
      </c>
      <c r="B71" s="45" t="s">
        <v>526</v>
      </c>
      <c r="C71" s="46" t="s">
        <v>69</v>
      </c>
      <c r="D71" s="24" t="s">
        <v>106</v>
      </c>
      <c r="E71" s="25" t="s">
        <v>653</v>
      </c>
      <c r="F71" s="25" t="s">
        <v>367</v>
      </c>
      <c r="G71" s="25" t="s">
        <v>654</v>
      </c>
      <c r="H71" s="23" t="s">
        <v>243</v>
      </c>
      <c r="I71" s="29" t="s">
        <v>32</v>
      </c>
      <c r="J71" s="29">
        <v>1</v>
      </c>
      <c r="K71" s="29">
        <v>2</v>
      </c>
    </row>
    <row r="72" spans="1:11" s="17" customFormat="1" ht="50.25" customHeight="1" x14ac:dyDescent="0.2">
      <c r="A72" s="20">
        <f t="shared" si="0"/>
        <v>63</v>
      </c>
      <c r="B72" s="45" t="s">
        <v>526</v>
      </c>
      <c r="C72" s="46" t="s">
        <v>70</v>
      </c>
      <c r="D72" s="24" t="s">
        <v>206</v>
      </c>
      <c r="E72" s="25" t="s">
        <v>275</v>
      </c>
      <c r="F72" s="25" t="s">
        <v>521</v>
      </c>
      <c r="G72" s="25" t="s">
        <v>263</v>
      </c>
      <c r="H72" s="23" t="s">
        <v>284</v>
      </c>
      <c r="I72" s="29" t="s">
        <v>32</v>
      </c>
      <c r="J72" s="29">
        <v>1</v>
      </c>
      <c r="K72" s="29">
        <v>3</v>
      </c>
    </row>
    <row r="73" spans="1:11" s="17" customFormat="1" ht="36" customHeight="1" x14ac:dyDescent="0.2">
      <c r="A73" s="20">
        <f t="shared" si="0"/>
        <v>64</v>
      </c>
      <c r="B73" s="45" t="s">
        <v>526</v>
      </c>
      <c r="C73" s="46" t="s">
        <v>70</v>
      </c>
      <c r="D73" s="24" t="s">
        <v>207</v>
      </c>
      <c r="E73" s="25" t="s">
        <v>384</v>
      </c>
      <c r="F73" s="25" t="s">
        <v>374</v>
      </c>
      <c r="G73" s="25" t="s">
        <v>379</v>
      </c>
      <c r="H73" s="23" t="s">
        <v>286</v>
      </c>
      <c r="I73" s="29" t="s">
        <v>32</v>
      </c>
      <c r="J73" s="29">
        <v>1</v>
      </c>
      <c r="K73" s="34">
        <v>3</v>
      </c>
    </row>
    <row r="74" spans="1:11" s="17" customFormat="1" ht="61.5" customHeight="1" x14ac:dyDescent="0.2">
      <c r="A74" s="20">
        <f t="shared" si="0"/>
        <v>65</v>
      </c>
      <c r="B74" s="45" t="s">
        <v>526</v>
      </c>
      <c r="C74" s="46" t="s">
        <v>70</v>
      </c>
      <c r="D74" s="24" t="s">
        <v>208</v>
      </c>
      <c r="E74" s="25" t="s">
        <v>385</v>
      </c>
      <c r="F74" s="25" t="s">
        <v>375</v>
      </c>
      <c r="G74" s="25" t="s">
        <v>380</v>
      </c>
      <c r="H74" s="23" t="s">
        <v>285</v>
      </c>
      <c r="I74" s="29" t="s">
        <v>32</v>
      </c>
      <c r="J74" s="29">
        <v>1</v>
      </c>
      <c r="K74" s="29">
        <v>1</v>
      </c>
    </row>
    <row r="75" spans="1:11" s="17" customFormat="1" ht="42.75" customHeight="1" x14ac:dyDescent="0.2">
      <c r="A75" s="20">
        <f t="shared" si="0"/>
        <v>66</v>
      </c>
      <c r="B75" s="45" t="s">
        <v>526</v>
      </c>
      <c r="C75" s="46" t="s">
        <v>70</v>
      </c>
      <c r="D75" s="24" t="s">
        <v>209</v>
      </c>
      <c r="E75" s="25" t="s">
        <v>386</v>
      </c>
      <c r="F75" s="25" t="s">
        <v>376</v>
      </c>
      <c r="G75" s="25" t="s">
        <v>381</v>
      </c>
      <c r="H75" s="23" t="s">
        <v>286</v>
      </c>
      <c r="I75" s="29" t="s">
        <v>32</v>
      </c>
      <c r="J75" s="29">
        <v>1</v>
      </c>
      <c r="K75" s="29">
        <v>4</v>
      </c>
    </row>
    <row r="76" spans="1:11" s="17" customFormat="1" ht="68.25" customHeight="1" x14ac:dyDescent="0.2">
      <c r="A76" s="20">
        <f t="shared" si="0"/>
        <v>67</v>
      </c>
      <c r="B76" s="45" t="s">
        <v>526</v>
      </c>
      <c r="C76" s="46" t="s">
        <v>70</v>
      </c>
      <c r="D76" s="24" t="s">
        <v>182</v>
      </c>
      <c r="E76" s="25" t="s">
        <v>387</v>
      </c>
      <c r="F76" s="25" t="s">
        <v>377</v>
      </c>
      <c r="G76" s="25" t="s">
        <v>382</v>
      </c>
      <c r="H76" s="23" t="s">
        <v>288</v>
      </c>
      <c r="I76" s="29" t="s">
        <v>32</v>
      </c>
      <c r="J76" s="29">
        <v>1</v>
      </c>
      <c r="K76" s="29">
        <v>2</v>
      </c>
    </row>
    <row r="77" spans="1:11" s="17" customFormat="1" ht="54.75" customHeight="1" x14ac:dyDescent="0.2">
      <c r="A77" s="20">
        <f t="shared" si="0"/>
        <v>68</v>
      </c>
      <c r="B77" s="45" t="s">
        <v>526</v>
      </c>
      <c r="C77" s="46" t="s">
        <v>70</v>
      </c>
      <c r="D77" s="24" t="s">
        <v>205</v>
      </c>
      <c r="E77" s="25" t="s">
        <v>278</v>
      </c>
      <c r="F77" s="25" t="s">
        <v>204</v>
      </c>
      <c r="G77" s="25" t="s">
        <v>266</v>
      </c>
      <c r="H77" s="23" t="s">
        <v>285</v>
      </c>
      <c r="I77" s="29" t="s">
        <v>32</v>
      </c>
      <c r="J77" s="29">
        <v>1</v>
      </c>
      <c r="K77" s="29">
        <v>1</v>
      </c>
    </row>
    <row r="78" spans="1:11" s="17" customFormat="1" ht="36" customHeight="1" x14ac:dyDescent="0.2">
      <c r="A78" s="20">
        <f t="shared" si="0"/>
        <v>69</v>
      </c>
      <c r="B78" s="45" t="s">
        <v>526</v>
      </c>
      <c r="C78" s="46" t="s">
        <v>70</v>
      </c>
      <c r="D78" s="24" t="s">
        <v>522</v>
      </c>
      <c r="E78" s="25" t="s">
        <v>655</v>
      </c>
      <c r="F78" s="25" t="s">
        <v>523</v>
      </c>
      <c r="G78" s="25" t="s">
        <v>656</v>
      </c>
      <c r="H78" s="23" t="s">
        <v>285</v>
      </c>
      <c r="I78" s="29" t="s">
        <v>32</v>
      </c>
      <c r="J78" s="29">
        <v>1</v>
      </c>
      <c r="K78" s="29">
        <v>1</v>
      </c>
    </row>
    <row r="79" spans="1:11" s="17" customFormat="1" ht="57" customHeight="1" x14ac:dyDescent="0.2">
      <c r="A79" s="20">
        <f t="shared" ref="A79:A141" si="1">A78+1</f>
        <v>70</v>
      </c>
      <c r="B79" s="45" t="s">
        <v>526</v>
      </c>
      <c r="C79" s="61" t="s">
        <v>70</v>
      </c>
      <c r="D79" s="24" t="s">
        <v>628</v>
      </c>
      <c r="E79" s="25" t="s">
        <v>657</v>
      </c>
      <c r="F79" s="38" t="s">
        <v>524</v>
      </c>
      <c r="G79" s="38" t="s">
        <v>658</v>
      </c>
      <c r="H79" s="44" t="s">
        <v>286</v>
      </c>
      <c r="I79" s="29" t="s">
        <v>32</v>
      </c>
      <c r="J79" s="29">
        <v>1</v>
      </c>
      <c r="K79" s="29">
        <v>2</v>
      </c>
    </row>
    <row r="80" spans="1:11" s="17" customFormat="1" ht="75.75" customHeight="1" x14ac:dyDescent="0.2">
      <c r="A80" s="20">
        <f t="shared" si="1"/>
        <v>71</v>
      </c>
      <c r="B80" s="45" t="s">
        <v>526</v>
      </c>
      <c r="C80" s="46" t="s">
        <v>70</v>
      </c>
      <c r="D80" s="24" t="s">
        <v>210</v>
      </c>
      <c r="E80" s="25" t="s">
        <v>388</v>
      </c>
      <c r="F80" s="25" t="s">
        <v>378</v>
      </c>
      <c r="G80" s="25" t="s">
        <v>383</v>
      </c>
      <c r="H80" s="23" t="s">
        <v>286</v>
      </c>
      <c r="I80" s="29" t="s">
        <v>32</v>
      </c>
      <c r="J80" s="29">
        <v>1</v>
      </c>
      <c r="K80" s="29">
        <v>2</v>
      </c>
    </row>
    <row r="81" spans="1:11" s="17" customFormat="1" ht="36.75" customHeight="1" x14ac:dyDescent="0.2">
      <c r="A81" s="20">
        <f t="shared" si="1"/>
        <v>72</v>
      </c>
      <c r="B81" s="45" t="s">
        <v>526</v>
      </c>
      <c r="C81" s="46" t="s">
        <v>525</v>
      </c>
      <c r="D81" s="24" t="s">
        <v>588</v>
      </c>
      <c r="E81" s="25" t="s">
        <v>589</v>
      </c>
      <c r="F81" s="38" t="s">
        <v>76</v>
      </c>
      <c r="G81" s="38" t="s">
        <v>590</v>
      </c>
      <c r="H81" s="23" t="s">
        <v>355</v>
      </c>
      <c r="I81" s="29" t="s">
        <v>32</v>
      </c>
      <c r="J81" s="29">
        <v>1</v>
      </c>
      <c r="K81" s="29">
        <v>1</v>
      </c>
    </row>
    <row r="82" spans="1:11" s="17" customFormat="1" ht="53.25" customHeight="1" x14ac:dyDescent="0.2">
      <c r="A82" s="20">
        <f t="shared" si="1"/>
        <v>73</v>
      </c>
      <c r="B82" s="45" t="s">
        <v>526</v>
      </c>
      <c r="C82" s="46" t="s">
        <v>74</v>
      </c>
      <c r="D82" s="24" t="s">
        <v>389</v>
      </c>
      <c r="E82" s="25" t="s">
        <v>392</v>
      </c>
      <c r="F82" s="25" t="s">
        <v>390</v>
      </c>
      <c r="G82" s="25" t="s">
        <v>659</v>
      </c>
      <c r="H82" s="23" t="s">
        <v>347</v>
      </c>
      <c r="I82" s="29" t="s">
        <v>32</v>
      </c>
      <c r="J82" s="29">
        <v>1</v>
      </c>
      <c r="K82" s="29">
        <v>1</v>
      </c>
    </row>
    <row r="83" spans="1:11" s="17" customFormat="1" ht="49.5" customHeight="1" x14ac:dyDescent="0.2">
      <c r="A83" s="20">
        <f t="shared" si="1"/>
        <v>74</v>
      </c>
      <c r="B83" s="45" t="s">
        <v>526</v>
      </c>
      <c r="C83" s="46" t="s">
        <v>74</v>
      </c>
      <c r="D83" s="24" t="s">
        <v>118</v>
      </c>
      <c r="E83" s="25" t="s">
        <v>660</v>
      </c>
      <c r="F83" s="25" t="s">
        <v>391</v>
      </c>
      <c r="G83" s="25" t="s">
        <v>661</v>
      </c>
      <c r="H83" s="23" t="s">
        <v>284</v>
      </c>
      <c r="I83" s="29" t="s">
        <v>32</v>
      </c>
      <c r="J83" s="29">
        <v>1</v>
      </c>
      <c r="K83" s="29">
        <v>2</v>
      </c>
    </row>
    <row r="84" spans="1:11" s="17" customFormat="1" ht="30.75" customHeight="1" x14ac:dyDescent="0.2">
      <c r="A84" s="20">
        <f t="shared" si="1"/>
        <v>75</v>
      </c>
      <c r="B84" s="45" t="s">
        <v>526</v>
      </c>
      <c r="C84" s="46" t="s">
        <v>528</v>
      </c>
      <c r="D84" s="24" t="s">
        <v>85</v>
      </c>
      <c r="E84" s="25" t="s">
        <v>662</v>
      </c>
      <c r="F84" s="25" t="s">
        <v>44</v>
      </c>
      <c r="G84" s="25" t="s">
        <v>393</v>
      </c>
      <c r="H84" s="23" t="s">
        <v>665</v>
      </c>
      <c r="I84" s="29" t="s">
        <v>32</v>
      </c>
      <c r="J84" s="29">
        <v>1</v>
      </c>
      <c r="K84" s="29">
        <v>1</v>
      </c>
    </row>
    <row r="85" spans="1:11" s="17" customFormat="1" ht="31.5" customHeight="1" x14ac:dyDescent="0.2">
      <c r="A85" s="20">
        <f t="shared" si="1"/>
        <v>76</v>
      </c>
      <c r="B85" s="45" t="s">
        <v>526</v>
      </c>
      <c r="C85" s="46" t="s">
        <v>75</v>
      </c>
      <c r="D85" s="24" t="s">
        <v>86</v>
      </c>
      <c r="E85" s="25" t="s">
        <v>202</v>
      </c>
      <c r="F85" s="25" t="s">
        <v>73</v>
      </c>
      <c r="G85" s="25" t="s">
        <v>203</v>
      </c>
      <c r="H85" s="23" t="s">
        <v>335</v>
      </c>
      <c r="I85" s="29" t="s">
        <v>32</v>
      </c>
      <c r="J85" s="29">
        <v>1</v>
      </c>
      <c r="K85" s="29">
        <v>1</v>
      </c>
    </row>
    <row r="86" spans="1:11" s="17" customFormat="1" ht="28.5" customHeight="1" x14ac:dyDescent="0.2">
      <c r="A86" s="20">
        <f t="shared" si="1"/>
        <v>77</v>
      </c>
      <c r="B86" s="45" t="s">
        <v>526</v>
      </c>
      <c r="C86" s="46" t="s">
        <v>97</v>
      </c>
      <c r="D86" s="24" t="s">
        <v>394</v>
      </c>
      <c r="E86" s="25" t="s">
        <v>397</v>
      </c>
      <c r="F86" s="25" t="s">
        <v>359</v>
      </c>
      <c r="G86" s="25" t="s">
        <v>396</v>
      </c>
      <c r="H86" s="23" t="s">
        <v>335</v>
      </c>
      <c r="I86" s="29" t="s">
        <v>32</v>
      </c>
      <c r="J86" s="29">
        <v>1</v>
      </c>
      <c r="K86" s="29">
        <v>1</v>
      </c>
    </row>
    <row r="87" spans="1:11" s="17" customFormat="1" ht="28.5" customHeight="1" x14ac:dyDescent="0.2">
      <c r="A87" s="20">
        <f t="shared" si="1"/>
        <v>78</v>
      </c>
      <c r="B87" s="45" t="s">
        <v>526</v>
      </c>
      <c r="C87" s="46" t="s">
        <v>120</v>
      </c>
      <c r="D87" s="24" t="s">
        <v>441</v>
      </c>
      <c r="E87" s="25" t="s">
        <v>442</v>
      </c>
      <c r="F87" s="22" t="s">
        <v>663</v>
      </c>
      <c r="G87" s="25" t="s">
        <v>664</v>
      </c>
      <c r="H87" s="23" t="s">
        <v>665</v>
      </c>
      <c r="I87" s="29" t="s">
        <v>32</v>
      </c>
      <c r="J87" s="29">
        <v>1</v>
      </c>
      <c r="K87" s="29">
        <v>1</v>
      </c>
    </row>
    <row r="88" spans="1:11" ht="59.25" customHeight="1" x14ac:dyDescent="0.2">
      <c r="A88" s="20">
        <f t="shared" si="1"/>
        <v>79</v>
      </c>
      <c r="B88" s="45" t="s">
        <v>581</v>
      </c>
      <c r="C88" s="46" t="s">
        <v>69</v>
      </c>
      <c r="D88" s="24" t="s">
        <v>398</v>
      </c>
      <c r="E88" s="25" t="s">
        <v>404</v>
      </c>
      <c r="F88" s="25" t="s">
        <v>400</v>
      </c>
      <c r="G88" s="25" t="s">
        <v>402</v>
      </c>
      <c r="H88" s="23" t="s">
        <v>243</v>
      </c>
      <c r="I88" s="29" t="s">
        <v>32</v>
      </c>
      <c r="J88" s="29">
        <v>1</v>
      </c>
      <c r="K88" s="21">
        <v>3</v>
      </c>
    </row>
    <row r="89" spans="1:11" ht="55.5" customHeight="1" x14ac:dyDescent="0.2">
      <c r="A89" s="20">
        <f t="shared" si="1"/>
        <v>80</v>
      </c>
      <c r="B89" s="45" t="s">
        <v>581</v>
      </c>
      <c r="C89" s="46" t="s">
        <v>69</v>
      </c>
      <c r="D89" s="24" t="s">
        <v>214</v>
      </c>
      <c r="E89" s="25" t="s">
        <v>239</v>
      </c>
      <c r="F89" s="25" t="s">
        <v>401</v>
      </c>
      <c r="G89" s="25" t="s">
        <v>229</v>
      </c>
      <c r="H89" s="23" t="s">
        <v>243</v>
      </c>
      <c r="I89" s="29" t="s">
        <v>32</v>
      </c>
      <c r="J89" s="29">
        <v>1</v>
      </c>
      <c r="K89" s="21">
        <v>3</v>
      </c>
    </row>
    <row r="90" spans="1:11" ht="57.75" customHeight="1" x14ac:dyDescent="0.2">
      <c r="A90" s="20">
        <f t="shared" si="1"/>
        <v>81</v>
      </c>
      <c r="B90" s="45" t="s">
        <v>581</v>
      </c>
      <c r="C90" s="46" t="s">
        <v>69</v>
      </c>
      <c r="D90" s="24" t="s">
        <v>399</v>
      </c>
      <c r="E90" s="25" t="s">
        <v>405</v>
      </c>
      <c r="F90" s="25" t="s">
        <v>666</v>
      </c>
      <c r="G90" s="25" t="s">
        <v>403</v>
      </c>
      <c r="H90" s="23" t="s">
        <v>243</v>
      </c>
      <c r="I90" s="29" t="s">
        <v>32</v>
      </c>
      <c r="J90" s="29">
        <v>1</v>
      </c>
      <c r="K90" s="21">
        <v>3</v>
      </c>
    </row>
    <row r="91" spans="1:11" ht="43.5" customHeight="1" x14ac:dyDescent="0.2">
      <c r="A91" s="20">
        <f t="shared" si="1"/>
        <v>82</v>
      </c>
      <c r="B91" s="45" t="s">
        <v>581</v>
      </c>
      <c r="C91" s="46" t="s">
        <v>70</v>
      </c>
      <c r="D91" s="24" t="s">
        <v>206</v>
      </c>
      <c r="E91" s="25" t="s">
        <v>275</v>
      </c>
      <c r="F91" s="25" t="s">
        <v>406</v>
      </c>
      <c r="G91" s="25" t="s">
        <v>263</v>
      </c>
      <c r="H91" s="23" t="s">
        <v>284</v>
      </c>
      <c r="I91" s="29" t="s">
        <v>32</v>
      </c>
      <c r="J91" s="29">
        <v>1</v>
      </c>
      <c r="K91" s="10">
        <v>3</v>
      </c>
    </row>
    <row r="92" spans="1:11" ht="85.5" customHeight="1" x14ac:dyDescent="0.2">
      <c r="A92" s="20">
        <f t="shared" si="1"/>
        <v>83</v>
      </c>
      <c r="B92" s="45" t="s">
        <v>581</v>
      </c>
      <c r="C92" s="46" t="s">
        <v>70</v>
      </c>
      <c r="D92" s="24" t="s">
        <v>108</v>
      </c>
      <c r="E92" s="25" t="s">
        <v>280</v>
      </c>
      <c r="F92" s="25" t="s">
        <v>258</v>
      </c>
      <c r="G92" s="25" t="s">
        <v>268</v>
      </c>
      <c r="H92" s="23" t="s">
        <v>288</v>
      </c>
      <c r="I92" s="29" t="s">
        <v>32</v>
      </c>
      <c r="J92" s="29">
        <v>1</v>
      </c>
      <c r="K92" s="21">
        <v>1</v>
      </c>
    </row>
    <row r="93" spans="1:11" s="17" customFormat="1" ht="42.75" customHeight="1" x14ac:dyDescent="0.2">
      <c r="A93" s="20">
        <f t="shared" si="1"/>
        <v>84</v>
      </c>
      <c r="B93" s="45" t="s">
        <v>581</v>
      </c>
      <c r="C93" s="46" t="s">
        <v>70</v>
      </c>
      <c r="D93" s="24" t="s">
        <v>246</v>
      </c>
      <c r="E93" s="25" t="s">
        <v>276</v>
      </c>
      <c r="F93" s="25" t="s">
        <v>183</v>
      </c>
      <c r="G93" s="25" t="s">
        <v>264</v>
      </c>
      <c r="H93" s="23" t="s">
        <v>285</v>
      </c>
      <c r="I93" s="29" t="s">
        <v>32</v>
      </c>
      <c r="J93" s="29">
        <v>1</v>
      </c>
      <c r="K93" s="10">
        <v>1</v>
      </c>
    </row>
    <row r="94" spans="1:11" ht="38.25" customHeight="1" x14ac:dyDescent="0.2">
      <c r="A94" s="20">
        <f t="shared" si="1"/>
        <v>85</v>
      </c>
      <c r="B94" s="45" t="s">
        <v>581</v>
      </c>
      <c r="C94" s="46" t="s">
        <v>22</v>
      </c>
      <c r="D94" s="24" t="s">
        <v>111</v>
      </c>
      <c r="E94" s="25" t="s">
        <v>304</v>
      </c>
      <c r="F94" s="25" t="s">
        <v>408</v>
      </c>
      <c r="G94" s="25" t="s">
        <v>302</v>
      </c>
      <c r="H94" s="23" t="s">
        <v>308</v>
      </c>
      <c r="I94" s="29" t="s">
        <v>32</v>
      </c>
      <c r="J94" s="29">
        <v>1</v>
      </c>
      <c r="K94" s="10">
        <v>3</v>
      </c>
    </row>
    <row r="95" spans="1:11" ht="38.25" customHeight="1" x14ac:dyDescent="0.2">
      <c r="A95" s="20">
        <f t="shared" si="1"/>
        <v>86</v>
      </c>
      <c r="B95" s="45" t="s">
        <v>581</v>
      </c>
      <c r="C95" s="46" t="s">
        <v>22</v>
      </c>
      <c r="D95" s="24" t="s">
        <v>407</v>
      </c>
      <c r="E95" s="25" t="s">
        <v>411</v>
      </c>
      <c r="F95" s="25" t="s">
        <v>409</v>
      </c>
      <c r="G95" s="25" t="s">
        <v>410</v>
      </c>
      <c r="H95" s="23" t="s">
        <v>308</v>
      </c>
      <c r="I95" s="29" t="s">
        <v>32</v>
      </c>
      <c r="J95" s="29">
        <v>1</v>
      </c>
      <c r="K95" s="21">
        <v>1</v>
      </c>
    </row>
    <row r="96" spans="1:11" ht="25.5" customHeight="1" x14ac:dyDescent="0.2">
      <c r="A96" s="20">
        <f t="shared" si="1"/>
        <v>87</v>
      </c>
      <c r="B96" s="45" t="s">
        <v>581</v>
      </c>
      <c r="C96" s="46" t="s">
        <v>72</v>
      </c>
      <c r="D96" s="24" t="s">
        <v>412</v>
      </c>
      <c r="E96" s="25" t="s">
        <v>415</v>
      </c>
      <c r="F96" s="25" t="s">
        <v>76</v>
      </c>
      <c r="G96" s="25" t="s">
        <v>414</v>
      </c>
      <c r="H96" s="23" t="s">
        <v>669</v>
      </c>
      <c r="I96" s="29" t="s">
        <v>32</v>
      </c>
      <c r="J96" s="29">
        <v>1</v>
      </c>
      <c r="K96" s="10">
        <v>1</v>
      </c>
    </row>
    <row r="97" spans="1:11" ht="36.75" customHeight="1" x14ac:dyDescent="0.2">
      <c r="A97" s="20">
        <f t="shared" si="1"/>
        <v>88</v>
      </c>
      <c r="B97" s="45" t="s">
        <v>581</v>
      </c>
      <c r="C97" s="46" t="s">
        <v>72</v>
      </c>
      <c r="D97" s="24" t="s">
        <v>591</v>
      </c>
      <c r="E97" s="25" t="s">
        <v>592</v>
      </c>
      <c r="F97" s="38" t="s">
        <v>413</v>
      </c>
      <c r="G97" s="28" t="s">
        <v>593</v>
      </c>
      <c r="H97" s="23" t="s">
        <v>355</v>
      </c>
      <c r="I97" s="29" t="s">
        <v>32</v>
      </c>
      <c r="J97" s="29">
        <v>1</v>
      </c>
      <c r="K97" s="29">
        <v>1</v>
      </c>
    </row>
    <row r="98" spans="1:11" ht="25.5" customHeight="1" x14ac:dyDescent="0.2">
      <c r="A98" s="20">
        <f t="shared" si="1"/>
        <v>89</v>
      </c>
      <c r="B98" s="45" t="s">
        <v>581</v>
      </c>
      <c r="C98" s="46" t="s">
        <v>25</v>
      </c>
      <c r="D98" s="24" t="s">
        <v>416</v>
      </c>
      <c r="E98" s="25" t="s">
        <v>667</v>
      </c>
      <c r="F98" s="25" t="s">
        <v>417</v>
      </c>
      <c r="G98" s="25" t="s">
        <v>418</v>
      </c>
      <c r="H98" s="23" t="s">
        <v>670</v>
      </c>
      <c r="I98" s="29" t="s">
        <v>32</v>
      </c>
      <c r="J98" s="29">
        <v>1</v>
      </c>
      <c r="K98" s="10">
        <v>3</v>
      </c>
    </row>
    <row r="99" spans="1:11" ht="25.5" customHeight="1" x14ac:dyDescent="0.2">
      <c r="A99" s="20">
        <f t="shared" si="1"/>
        <v>90</v>
      </c>
      <c r="B99" s="45" t="s">
        <v>581</v>
      </c>
      <c r="C99" s="46" t="s">
        <v>25</v>
      </c>
      <c r="D99" s="24" t="s">
        <v>88</v>
      </c>
      <c r="E99" s="25" t="s">
        <v>128</v>
      </c>
      <c r="F99" s="25" t="s">
        <v>53</v>
      </c>
      <c r="G99" s="25" t="s">
        <v>419</v>
      </c>
      <c r="H99" s="23" t="s">
        <v>317</v>
      </c>
      <c r="I99" s="29" t="s">
        <v>32</v>
      </c>
      <c r="J99" s="29">
        <v>1</v>
      </c>
      <c r="K99" s="10">
        <v>1</v>
      </c>
    </row>
    <row r="100" spans="1:11" ht="36" customHeight="1" x14ac:dyDescent="0.2">
      <c r="A100" s="20">
        <f t="shared" si="1"/>
        <v>91</v>
      </c>
      <c r="B100" s="45" t="s">
        <v>581</v>
      </c>
      <c r="C100" s="46" t="s">
        <v>25</v>
      </c>
      <c r="D100" s="24" t="s">
        <v>87</v>
      </c>
      <c r="E100" s="25" t="s">
        <v>668</v>
      </c>
      <c r="F100" s="25" t="s">
        <v>54</v>
      </c>
      <c r="G100" s="25" t="s">
        <v>162</v>
      </c>
      <c r="H100" s="23" t="s">
        <v>318</v>
      </c>
      <c r="I100" s="29" t="s">
        <v>32</v>
      </c>
      <c r="J100" s="29">
        <v>1</v>
      </c>
      <c r="K100" s="10">
        <v>1</v>
      </c>
    </row>
    <row r="101" spans="1:11" ht="25.5" customHeight="1" x14ac:dyDescent="0.2">
      <c r="A101" s="20">
        <f t="shared" si="1"/>
        <v>92</v>
      </c>
      <c r="B101" s="45" t="s">
        <v>581</v>
      </c>
      <c r="C101" s="46" t="s">
        <v>97</v>
      </c>
      <c r="D101" s="24" t="s">
        <v>600</v>
      </c>
      <c r="E101" s="25" t="s">
        <v>599</v>
      </c>
      <c r="F101" s="28" t="s">
        <v>359</v>
      </c>
      <c r="G101" s="38" t="s">
        <v>420</v>
      </c>
      <c r="H101" s="23" t="s">
        <v>335</v>
      </c>
      <c r="I101" s="29" t="s">
        <v>32</v>
      </c>
      <c r="J101" s="29">
        <v>1</v>
      </c>
      <c r="K101" s="29">
        <v>1</v>
      </c>
    </row>
    <row r="102" spans="1:11" ht="54" customHeight="1" x14ac:dyDescent="0.2">
      <c r="A102" s="20">
        <f t="shared" si="1"/>
        <v>93</v>
      </c>
      <c r="B102" s="45" t="s">
        <v>582</v>
      </c>
      <c r="C102" s="46" t="s">
        <v>21</v>
      </c>
      <c r="D102" s="24" t="s">
        <v>104</v>
      </c>
      <c r="E102" s="25" t="s">
        <v>371</v>
      </c>
      <c r="F102" s="36" t="s">
        <v>671</v>
      </c>
      <c r="G102" s="25" t="s">
        <v>368</v>
      </c>
      <c r="H102" s="23" t="s">
        <v>243</v>
      </c>
      <c r="I102" s="29" t="s">
        <v>32</v>
      </c>
      <c r="J102" s="29">
        <v>1</v>
      </c>
      <c r="K102" s="37">
        <v>7</v>
      </c>
    </row>
    <row r="103" spans="1:11" ht="51.75" customHeight="1" x14ac:dyDescent="0.2">
      <c r="A103" s="20">
        <f t="shared" si="1"/>
        <v>94</v>
      </c>
      <c r="B103" s="45" t="s">
        <v>582</v>
      </c>
      <c r="C103" s="46" t="s">
        <v>21</v>
      </c>
      <c r="D103" s="24" t="s">
        <v>574</v>
      </c>
      <c r="E103" s="25" t="s">
        <v>672</v>
      </c>
      <c r="F103" s="36" t="s">
        <v>673</v>
      </c>
      <c r="G103" s="25" t="s">
        <v>674</v>
      </c>
      <c r="H103" s="23" t="s">
        <v>243</v>
      </c>
      <c r="I103" s="29" t="s">
        <v>32</v>
      </c>
      <c r="J103" s="29">
        <v>1</v>
      </c>
      <c r="K103" s="37">
        <v>2</v>
      </c>
    </row>
    <row r="104" spans="1:11" ht="56.25" customHeight="1" x14ac:dyDescent="0.2">
      <c r="A104" s="20">
        <f t="shared" si="1"/>
        <v>95</v>
      </c>
      <c r="B104" s="45" t="s">
        <v>582</v>
      </c>
      <c r="C104" s="46" t="s">
        <v>21</v>
      </c>
      <c r="D104" s="24" t="s">
        <v>421</v>
      </c>
      <c r="E104" s="25" t="s">
        <v>424</v>
      </c>
      <c r="F104" s="36" t="s">
        <v>675</v>
      </c>
      <c r="G104" s="25" t="s">
        <v>422</v>
      </c>
      <c r="H104" s="23" t="s">
        <v>243</v>
      </c>
      <c r="I104" s="29" t="s">
        <v>32</v>
      </c>
      <c r="J104" s="29">
        <v>1</v>
      </c>
      <c r="K104" s="37">
        <v>2</v>
      </c>
    </row>
    <row r="105" spans="1:11" ht="29.25" customHeight="1" x14ac:dyDescent="0.2">
      <c r="A105" s="20">
        <f t="shared" si="1"/>
        <v>96</v>
      </c>
      <c r="B105" s="45" t="s">
        <v>582</v>
      </c>
      <c r="C105" s="46" t="s">
        <v>21</v>
      </c>
      <c r="D105" s="24" t="s">
        <v>187</v>
      </c>
      <c r="E105" s="25" t="s">
        <v>188</v>
      </c>
      <c r="F105" s="36" t="s">
        <v>676</v>
      </c>
      <c r="G105" s="25" t="s">
        <v>423</v>
      </c>
      <c r="H105" s="23" t="s">
        <v>696</v>
      </c>
      <c r="I105" s="29" t="s">
        <v>32</v>
      </c>
      <c r="J105" s="29">
        <v>1</v>
      </c>
      <c r="K105" s="37">
        <v>2</v>
      </c>
    </row>
    <row r="106" spans="1:11" ht="48.75" customHeight="1" x14ac:dyDescent="0.2">
      <c r="A106" s="20">
        <f t="shared" si="1"/>
        <v>97</v>
      </c>
      <c r="B106" s="45" t="s">
        <v>582</v>
      </c>
      <c r="C106" s="46" t="s">
        <v>529</v>
      </c>
      <c r="D106" s="24" t="s">
        <v>107</v>
      </c>
      <c r="E106" s="25" t="s">
        <v>93</v>
      </c>
      <c r="F106" s="36" t="s">
        <v>94</v>
      </c>
      <c r="G106" s="25" t="s">
        <v>360</v>
      </c>
      <c r="H106" s="23" t="s">
        <v>361</v>
      </c>
      <c r="I106" s="29" t="s">
        <v>32</v>
      </c>
      <c r="J106" s="29">
        <v>1</v>
      </c>
      <c r="K106" s="37">
        <v>1</v>
      </c>
    </row>
    <row r="107" spans="1:11" ht="45" x14ac:dyDescent="0.2">
      <c r="A107" s="20">
        <f t="shared" si="1"/>
        <v>98</v>
      </c>
      <c r="B107" s="45" t="s">
        <v>582</v>
      </c>
      <c r="C107" s="46" t="s">
        <v>49</v>
      </c>
      <c r="D107" s="24" t="s">
        <v>215</v>
      </c>
      <c r="E107" s="25" t="s">
        <v>530</v>
      </c>
      <c r="F107" s="36" t="s">
        <v>48</v>
      </c>
      <c r="G107" s="25" t="s">
        <v>231</v>
      </c>
      <c r="H107" s="23" t="s">
        <v>244</v>
      </c>
      <c r="I107" s="29" t="s">
        <v>32</v>
      </c>
      <c r="J107" s="29">
        <v>1</v>
      </c>
      <c r="K107" s="37">
        <v>1</v>
      </c>
    </row>
    <row r="108" spans="1:11" ht="37.5" customHeight="1" x14ac:dyDescent="0.2">
      <c r="A108" s="20">
        <f t="shared" si="1"/>
        <v>99</v>
      </c>
      <c r="B108" s="45" t="s">
        <v>582</v>
      </c>
      <c r="C108" s="46" t="s">
        <v>181</v>
      </c>
      <c r="D108" s="24" t="s">
        <v>531</v>
      </c>
      <c r="E108" s="25" t="s">
        <v>532</v>
      </c>
      <c r="F108" s="36" t="s">
        <v>677</v>
      </c>
      <c r="G108" s="25" t="s">
        <v>533</v>
      </c>
      <c r="H108" s="23" t="s">
        <v>286</v>
      </c>
      <c r="I108" s="29" t="s">
        <v>32</v>
      </c>
      <c r="J108" s="29">
        <v>1</v>
      </c>
      <c r="K108" s="37">
        <v>2</v>
      </c>
    </row>
    <row r="109" spans="1:11" ht="36.75" customHeight="1" x14ac:dyDescent="0.2">
      <c r="A109" s="20">
        <f t="shared" si="1"/>
        <v>100</v>
      </c>
      <c r="B109" s="45" t="s">
        <v>582</v>
      </c>
      <c r="C109" s="46" t="s">
        <v>181</v>
      </c>
      <c r="D109" s="24" t="s">
        <v>205</v>
      </c>
      <c r="E109" s="25" t="s">
        <v>278</v>
      </c>
      <c r="F109" s="36" t="s">
        <v>534</v>
      </c>
      <c r="G109" s="25" t="s">
        <v>266</v>
      </c>
      <c r="H109" s="23" t="s">
        <v>285</v>
      </c>
      <c r="I109" s="29" t="s">
        <v>32</v>
      </c>
      <c r="J109" s="29">
        <v>1</v>
      </c>
      <c r="K109" s="37">
        <v>1</v>
      </c>
    </row>
    <row r="110" spans="1:11" ht="38.25" customHeight="1" x14ac:dyDescent="0.2">
      <c r="A110" s="20">
        <f t="shared" si="1"/>
        <v>101</v>
      </c>
      <c r="B110" s="45" t="s">
        <v>582</v>
      </c>
      <c r="C110" s="46" t="s">
        <v>181</v>
      </c>
      <c r="D110" s="24" t="s">
        <v>206</v>
      </c>
      <c r="E110" s="25" t="s">
        <v>275</v>
      </c>
      <c r="F110" s="36" t="s">
        <v>678</v>
      </c>
      <c r="G110" s="25" t="s">
        <v>263</v>
      </c>
      <c r="H110" s="23" t="s">
        <v>284</v>
      </c>
      <c r="I110" s="29" t="s">
        <v>32</v>
      </c>
      <c r="J110" s="29">
        <v>1</v>
      </c>
      <c r="K110" s="37">
        <v>9</v>
      </c>
    </row>
    <row r="111" spans="1:11" ht="68.25" customHeight="1" x14ac:dyDescent="0.2">
      <c r="A111" s="20">
        <f t="shared" si="1"/>
        <v>102</v>
      </c>
      <c r="B111" s="45" t="s">
        <v>582</v>
      </c>
      <c r="C111" s="46" t="s">
        <v>181</v>
      </c>
      <c r="D111" s="24" t="s">
        <v>535</v>
      </c>
      <c r="E111" s="25" t="s">
        <v>536</v>
      </c>
      <c r="F111" s="36" t="s">
        <v>679</v>
      </c>
      <c r="G111" s="25" t="s">
        <v>537</v>
      </c>
      <c r="H111" s="23" t="s">
        <v>284</v>
      </c>
      <c r="I111" s="29" t="s">
        <v>32</v>
      </c>
      <c r="J111" s="29">
        <v>1</v>
      </c>
      <c r="K111" s="37">
        <v>4</v>
      </c>
    </row>
    <row r="112" spans="1:11" ht="60.75" customHeight="1" x14ac:dyDescent="0.2">
      <c r="A112" s="20">
        <f t="shared" si="1"/>
        <v>103</v>
      </c>
      <c r="B112" s="45" t="s">
        <v>582</v>
      </c>
      <c r="C112" s="125" t="s">
        <v>181</v>
      </c>
      <c r="D112" s="124" t="s">
        <v>246</v>
      </c>
      <c r="E112" s="25" t="s">
        <v>276</v>
      </c>
      <c r="F112" s="36" t="s">
        <v>50</v>
      </c>
      <c r="G112" s="25" t="s">
        <v>264</v>
      </c>
      <c r="H112" s="23" t="s">
        <v>285</v>
      </c>
      <c r="I112" s="29" t="s">
        <v>32</v>
      </c>
      <c r="J112" s="29">
        <v>1</v>
      </c>
      <c r="K112" s="37">
        <v>1</v>
      </c>
    </row>
    <row r="113" spans="1:11" ht="76.5" customHeight="1" x14ac:dyDescent="0.2">
      <c r="A113" s="20">
        <f t="shared" si="1"/>
        <v>104</v>
      </c>
      <c r="B113" s="45" t="s">
        <v>582</v>
      </c>
      <c r="C113" s="46" t="s">
        <v>170</v>
      </c>
      <c r="D113" s="24" t="s">
        <v>538</v>
      </c>
      <c r="E113" s="25" t="s">
        <v>539</v>
      </c>
      <c r="F113" s="36" t="s">
        <v>425</v>
      </c>
      <c r="G113" s="25" t="s">
        <v>680</v>
      </c>
      <c r="H113" s="23" t="s">
        <v>540</v>
      </c>
      <c r="I113" s="29" t="s">
        <v>32</v>
      </c>
      <c r="J113" s="29">
        <v>1</v>
      </c>
      <c r="K113" s="37">
        <v>1</v>
      </c>
    </row>
    <row r="114" spans="1:11" ht="83.25" customHeight="1" x14ac:dyDescent="0.2">
      <c r="A114" s="20">
        <f t="shared" si="1"/>
        <v>105</v>
      </c>
      <c r="B114" s="45" t="s">
        <v>582</v>
      </c>
      <c r="C114" s="125" t="s">
        <v>170</v>
      </c>
      <c r="D114" s="124" t="s">
        <v>252</v>
      </c>
      <c r="E114" s="25" t="s">
        <v>283</v>
      </c>
      <c r="F114" s="36" t="s">
        <v>681</v>
      </c>
      <c r="G114" s="25" t="s">
        <v>273</v>
      </c>
      <c r="H114" s="23" t="s">
        <v>287</v>
      </c>
      <c r="I114" s="29" t="s">
        <v>32</v>
      </c>
      <c r="J114" s="29">
        <v>1</v>
      </c>
      <c r="K114" s="37">
        <v>2</v>
      </c>
    </row>
    <row r="115" spans="1:11" ht="73.5" customHeight="1" x14ac:dyDescent="0.2">
      <c r="A115" s="20">
        <f t="shared" si="1"/>
        <v>106</v>
      </c>
      <c r="B115" s="45" t="s">
        <v>582</v>
      </c>
      <c r="C115" s="125" t="s">
        <v>170</v>
      </c>
      <c r="D115" s="124" t="s">
        <v>251</v>
      </c>
      <c r="E115" s="25" t="s">
        <v>274</v>
      </c>
      <c r="F115" s="36" t="s">
        <v>682</v>
      </c>
      <c r="G115" s="25" t="s">
        <v>272</v>
      </c>
      <c r="H115" s="23" t="s">
        <v>289</v>
      </c>
      <c r="I115" s="29" t="s">
        <v>32</v>
      </c>
      <c r="J115" s="29">
        <v>1</v>
      </c>
      <c r="K115" s="37">
        <v>4</v>
      </c>
    </row>
    <row r="116" spans="1:11" s="17" customFormat="1" ht="42" customHeight="1" x14ac:dyDescent="0.2">
      <c r="A116" s="20">
        <f t="shared" si="1"/>
        <v>107</v>
      </c>
      <c r="B116" s="45" t="s">
        <v>582</v>
      </c>
      <c r="C116" s="46" t="s">
        <v>541</v>
      </c>
      <c r="D116" s="24" t="s">
        <v>83</v>
      </c>
      <c r="E116" s="25" t="s">
        <v>344</v>
      </c>
      <c r="F116" s="36" t="s">
        <v>140</v>
      </c>
      <c r="G116" s="25" t="s">
        <v>342</v>
      </c>
      <c r="H116" s="23" t="s">
        <v>346</v>
      </c>
      <c r="I116" s="29" t="s">
        <v>32</v>
      </c>
      <c r="J116" s="29">
        <v>1</v>
      </c>
      <c r="K116" s="37">
        <v>1</v>
      </c>
    </row>
    <row r="117" spans="1:11" s="14" customFormat="1" ht="73.5" customHeight="1" x14ac:dyDescent="0.2">
      <c r="A117" s="20">
        <f t="shared" si="1"/>
        <v>108</v>
      </c>
      <c r="B117" s="45" t="s">
        <v>582</v>
      </c>
      <c r="C117" s="46" t="s">
        <v>67</v>
      </c>
      <c r="D117" s="24" t="s">
        <v>84</v>
      </c>
      <c r="E117" s="25" t="s">
        <v>345</v>
      </c>
      <c r="F117" s="36" t="s">
        <v>683</v>
      </c>
      <c r="G117" s="25" t="s">
        <v>343</v>
      </c>
      <c r="H117" s="23" t="s">
        <v>347</v>
      </c>
      <c r="I117" s="29" t="s">
        <v>32</v>
      </c>
      <c r="J117" s="29">
        <v>1</v>
      </c>
      <c r="K117" s="37">
        <v>2</v>
      </c>
    </row>
    <row r="118" spans="1:11" s="14" customFormat="1" ht="35.25" customHeight="1" x14ac:dyDescent="0.2">
      <c r="A118" s="20">
        <f t="shared" si="1"/>
        <v>109</v>
      </c>
      <c r="B118" s="45" t="s">
        <v>582</v>
      </c>
      <c r="C118" s="46" t="s">
        <v>67</v>
      </c>
      <c r="D118" s="24" t="s">
        <v>193</v>
      </c>
      <c r="E118" s="25" t="s">
        <v>194</v>
      </c>
      <c r="F118" s="36" t="s">
        <v>66</v>
      </c>
      <c r="G118" s="25" t="s">
        <v>684</v>
      </c>
      <c r="H118" s="23" t="s">
        <v>697</v>
      </c>
      <c r="I118" s="29" t="s">
        <v>32</v>
      </c>
      <c r="J118" s="29">
        <v>1</v>
      </c>
      <c r="K118" s="37">
        <v>1</v>
      </c>
    </row>
    <row r="119" spans="1:11" ht="44.25" customHeight="1" x14ac:dyDescent="0.2">
      <c r="A119" s="20">
        <f t="shared" si="1"/>
        <v>110</v>
      </c>
      <c r="B119" s="45" t="s">
        <v>582</v>
      </c>
      <c r="C119" s="46" t="s">
        <v>143</v>
      </c>
      <c r="D119" s="24" t="s">
        <v>151</v>
      </c>
      <c r="E119" s="25" t="s">
        <v>685</v>
      </c>
      <c r="F119" s="36" t="s">
        <v>152</v>
      </c>
      <c r="G119" s="25" t="s">
        <v>686</v>
      </c>
      <c r="H119" s="23" t="s">
        <v>306</v>
      </c>
      <c r="I119" s="29" t="s">
        <v>32</v>
      </c>
      <c r="J119" s="29">
        <v>1</v>
      </c>
      <c r="K119" s="37">
        <v>1</v>
      </c>
    </row>
    <row r="120" spans="1:11" ht="45.75" customHeight="1" x14ac:dyDescent="0.2">
      <c r="A120" s="20">
        <f t="shared" si="1"/>
        <v>111</v>
      </c>
      <c r="B120" s="45" t="s">
        <v>582</v>
      </c>
      <c r="C120" s="125" t="s">
        <v>143</v>
      </c>
      <c r="D120" s="124" t="s">
        <v>78</v>
      </c>
      <c r="E120" s="25" t="s">
        <v>51</v>
      </c>
      <c r="F120" s="36" t="s">
        <v>687</v>
      </c>
      <c r="G120" s="25" t="s">
        <v>300</v>
      </c>
      <c r="H120" s="23" t="s">
        <v>318</v>
      </c>
      <c r="I120" s="29" t="s">
        <v>32</v>
      </c>
      <c r="J120" s="29">
        <v>1</v>
      </c>
      <c r="K120" s="37">
        <v>3</v>
      </c>
    </row>
    <row r="121" spans="1:11" ht="36.75" customHeight="1" x14ac:dyDescent="0.2">
      <c r="A121" s="20">
        <f t="shared" si="1"/>
        <v>112</v>
      </c>
      <c r="B121" s="45" t="s">
        <v>582</v>
      </c>
      <c r="C121" s="46" t="s">
        <v>143</v>
      </c>
      <c r="D121" s="24" t="s">
        <v>109</v>
      </c>
      <c r="E121" s="25" t="s">
        <v>91</v>
      </c>
      <c r="F121" s="36" t="s">
        <v>688</v>
      </c>
      <c r="G121" s="25" t="s">
        <v>301</v>
      </c>
      <c r="H121" s="23" t="s">
        <v>308</v>
      </c>
      <c r="I121" s="29" t="s">
        <v>32</v>
      </c>
      <c r="J121" s="29">
        <v>1</v>
      </c>
      <c r="K121" s="37">
        <v>2</v>
      </c>
    </row>
    <row r="122" spans="1:11" ht="33" customHeight="1" x14ac:dyDescent="0.2">
      <c r="A122" s="20">
        <f t="shared" si="1"/>
        <v>113</v>
      </c>
      <c r="B122" s="45" t="s">
        <v>582</v>
      </c>
      <c r="C122" s="46" t="s">
        <v>177</v>
      </c>
      <c r="D122" s="24" t="s">
        <v>190</v>
      </c>
      <c r="E122" s="25" t="s">
        <v>176</v>
      </c>
      <c r="F122" s="33" t="s">
        <v>61</v>
      </c>
      <c r="G122" s="25" t="s">
        <v>312</v>
      </c>
      <c r="H122" s="23" t="s">
        <v>313</v>
      </c>
      <c r="I122" s="29" t="s">
        <v>32</v>
      </c>
      <c r="J122" s="29">
        <v>1</v>
      </c>
      <c r="K122" s="39">
        <v>1</v>
      </c>
    </row>
    <row r="123" spans="1:11" ht="42.75" customHeight="1" x14ac:dyDescent="0.2">
      <c r="A123" s="20">
        <f t="shared" si="1"/>
        <v>114</v>
      </c>
      <c r="B123" s="45" t="s">
        <v>582</v>
      </c>
      <c r="C123" s="125" t="s">
        <v>177</v>
      </c>
      <c r="D123" s="124" t="s">
        <v>191</v>
      </c>
      <c r="E123" s="25" t="s">
        <v>175</v>
      </c>
      <c r="F123" s="33" t="s">
        <v>60</v>
      </c>
      <c r="G123" s="25" t="s">
        <v>311</v>
      </c>
      <c r="H123" s="23" t="s">
        <v>313</v>
      </c>
      <c r="I123" s="29" t="s">
        <v>32</v>
      </c>
      <c r="J123" s="29">
        <v>1</v>
      </c>
      <c r="K123" s="39">
        <v>1</v>
      </c>
    </row>
    <row r="124" spans="1:11" ht="42" customHeight="1" x14ac:dyDescent="0.2">
      <c r="A124" s="20">
        <f t="shared" si="1"/>
        <v>115</v>
      </c>
      <c r="B124" s="45" t="s">
        <v>582</v>
      </c>
      <c r="C124" s="125" t="s">
        <v>59</v>
      </c>
      <c r="D124" s="124" t="s">
        <v>38</v>
      </c>
      <c r="E124" s="25" t="s">
        <v>640</v>
      </c>
      <c r="F124" s="36" t="s">
        <v>542</v>
      </c>
      <c r="G124" s="25" t="s">
        <v>689</v>
      </c>
      <c r="H124" s="23" t="s">
        <v>322</v>
      </c>
      <c r="I124" s="29" t="s">
        <v>32</v>
      </c>
      <c r="J124" s="29">
        <v>1</v>
      </c>
      <c r="K124" s="37">
        <v>1</v>
      </c>
    </row>
    <row r="125" spans="1:11" ht="36.75" customHeight="1" x14ac:dyDescent="0.2">
      <c r="A125" s="20">
        <f t="shared" si="1"/>
        <v>116</v>
      </c>
      <c r="B125" s="45" t="s">
        <v>582</v>
      </c>
      <c r="C125" s="125" t="s">
        <v>59</v>
      </c>
      <c r="D125" s="124" t="s">
        <v>543</v>
      </c>
      <c r="E125" s="25" t="s">
        <v>544</v>
      </c>
      <c r="F125" s="36" t="s">
        <v>545</v>
      </c>
      <c r="G125" s="25" t="s">
        <v>546</v>
      </c>
      <c r="H125" s="23" t="s">
        <v>322</v>
      </c>
      <c r="I125" s="29" t="s">
        <v>32</v>
      </c>
      <c r="J125" s="29">
        <v>1</v>
      </c>
      <c r="K125" s="37">
        <v>1</v>
      </c>
    </row>
    <row r="126" spans="1:11" ht="45" customHeight="1" x14ac:dyDescent="0.2">
      <c r="A126" s="20">
        <f t="shared" si="1"/>
        <v>117</v>
      </c>
      <c r="B126" s="45" t="s">
        <v>582</v>
      </c>
      <c r="C126" s="46" t="s">
        <v>153</v>
      </c>
      <c r="D126" s="24" t="s">
        <v>154</v>
      </c>
      <c r="E126" s="25" t="s">
        <v>690</v>
      </c>
      <c r="F126" s="36" t="s">
        <v>691</v>
      </c>
      <c r="G126" s="25" t="s">
        <v>692</v>
      </c>
      <c r="H126" s="23" t="s">
        <v>309</v>
      </c>
      <c r="I126" s="29" t="s">
        <v>32</v>
      </c>
      <c r="J126" s="29">
        <v>1</v>
      </c>
      <c r="K126" s="37">
        <v>3</v>
      </c>
    </row>
    <row r="127" spans="1:11" ht="37.5" customHeight="1" x14ac:dyDescent="0.2">
      <c r="A127" s="20">
        <f t="shared" si="1"/>
        <v>118</v>
      </c>
      <c r="B127" s="45" t="s">
        <v>582</v>
      </c>
      <c r="C127" s="46" t="s">
        <v>155</v>
      </c>
      <c r="D127" s="24" t="s">
        <v>156</v>
      </c>
      <c r="E127" s="25" t="s">
        <v>157</v>
      </c>
      <c r="F127" s="36" t="s">
        <v>158</v>
      </c>
      <c r="G127" s="25" t="s">
        <v>693</v>
      </c>
      <c r="H127" s="23" t="s">
        <v>318</v>
      </c>
      <c r="I127" s="29" t="s">
        <v>32</v>
      </c>
      <c r="J127" s="29">
        <v>1</v>
      </c>
      <c r="K127" s="37">
        <v>1</v>
      </c>
    </row>
    <row r="128" spans="1:11" ht="39.75" customHeight="1" x14ac:dyDescent="0.2">
      <c r="A128" s="20">
        <f t="shared" si="1"/>
        <v>119</v>
      </c>
      <c r="B128" s="45" t="s">
        <v>582</v>
      </c>
      <c r="C128" s="46" t="s">
        <v>155</v>
      </c>
      <c r="D128" s="24" t="s">
        <v>80</v>
      </c>
      <c r="E128" s="25" t="s">
        <v>126</v>
      </c>
      <c r="F128" s="36" t="s">
        <v>27</v>
      </c>
      <c r="G128" s="25" t="s">
        <v>56</v>
      </c>
      <c r="H128" s="23" t="s">
        <v>318</v>
      </c>
      <c r="I128" s="29" t="s">
        <v>32</v>
      </c>
      <c r="J128" s="29">
        <v>1</v>
      </c>
      <c r="K128" s="37">
        <v>1</v>
      </c>
    </row>
    <row r="129" spans="1:11" ht="42" customHeight="1" x14ac:dyDescent="0.2">
      <c r="A129" s="20">
        <f t="shared" si="1"/>
        <v>120</v>
      </c>
      <c r="B129" s="45" t="s">
        <v>582</v>
      </c>
      <c r="C129" s="125" t="s">
        <v>155</v>
      </c>
      <c r="D129" s="124" t="s">
        <v>160</v>
      </c>
      <c r="E129" s="25" t="s">
        <v>161</v>
      </c>
      <c r="F129" s="36" t="s">
        <v>52</v>
      </c>
      <c r="G129" s="25" t="s">
        <v>694</v>
      </c>
      <c r="H129" s="23" t="s">
        <v>317</v>
      </c>
      <c r="I129" s="29" t="s">
        <v>32</v>
      </c>
      <c r="J129" s="29">
        <v>1</v>
      </c>
      <c r="K129" s="37">
        <v>1</v>
      </c>
    </row>
    <row r="130" spans="1:11" ht="36" customHeight="1" x14ac:dyDescent="0.2">
      <c r="A130" s="20">
        <f t="shared" si="1"/>
        <v>121</v>
      </c>
      <c r="B130" s="45" t="s">
        <v>582</v>
      </c>
      <c r="C130" s="46" t="s">
        <v>155</v>
      </c>
      <c r="D130" s="24" t="s">
        <v>87</v>
      </c>
      <c r="E130" s="25" t="s">
        <v>668</v>
      </c>
      <c r="F130" s="36" t="s">
        <v>54</v>
      </c>
      <c r="G130" s="25" t="s">
        <v>162</v>
      </c>
      <c r="H130" s="23" t="s">
        <v>318</v>
      </c>
      <c r="I130" s="29" t="s">
        <v>32</v>
      </c>
      <c r="J130" s="29">
        <v>1</v>
      </c>
      <c r="K130" s="37">
        <v>1</v>
      </c>
    </row>
    <row r="131" spans="1:11" ht="44.25" customHeight="1" x14ac:dyDescent="0.2">
      <c r="A131" s="20">
        <f t="shared" si="1"/>
        <v>122</v>
      </c>
      <c r="B131" s="45" t="s">
        <v>582</v>
      </c>
      <c r="C131" s="46" t="s">
        <v>189</v>
      </c>
      <c r="D131" s="24" t="s">
        <v>112</v>
      </c>
      <c r="E131" s="25" t="s">
        <v>644</v>
      </c>
      <c r="F131" s="36" t="s">
        <v>73</v>
      </c>
      <c r="G131" s="25" t="s">
        <v>338</v>
      </c>
      <c r="H131" s="23" t="s">
        <v>651</v>
      </c>
      <c r="I131" s="29" t="s">
        <v>32</v>
      </c>
      <c r="J131" s="29">
        <v>1</v>
      </c>
      <c r="K131" s="37">
        <v>1</v>
      </c>
    </row>
    <row r="132" spans="1:11" ht="36" customHeight="1" x14ac:dyDescent="0.2">
      <c r="A132" s="20">
        <f t="shared" si="1"/>
        <v>123</v>
      </c>
      <c r="B132" s="45" t="s">
        <v>582</v>
      </c>
      <c r="C132" s="46" t="s">
        <v>166</v>
      </c>
      <c r="D132" s="24" t="s">
        <v>547</v>
      </c>
      <c r="E132" s="25" t="s">
        <v>548</v>
      </c>
      <c r="F132" s="36" t="s">
        <v>444</v>
      </c>
      <c r="G132" s="25" t="s">
        <v>549</v>
      </c>
      <c r="H132" s="23" t="s">
        <v>355</v>
      </c>
      <c r="I132" s="29" t="s">
        <v>32</v>
      </c>
      <c r="J132" s="29">
        <v>1</v>
      </c>
      <c r="K132" s="37">
        <v>1</v>
      </c>
    </row>
    <row r="133" spans="1:11" ht="36" customHeight="1" x14ac:dyDescent="0.2">
      <c r="A133" s="20">
        <f t="shared" si="1"/>
        <v>124</v>
      </c>
      <c r="B133" s="45" t="s">
        <v>582</v>
      </c>
      <c r="C133" s="46" t="s">
        <v>166</v>
      </c>
      <c r="D133" s="24" t="s">
        <v>562</v>
      </c>
      <c r="E133" s="25" t="s">
        <v>552</v>
      </c>
      <c r="F133" s="33" t="s">
        <v>550</v>
      </c>
      <c r="G133" s="38" t="s">
        <v>551</v>
      </c>
      <c r="H133" s="23" t="s">
        <v>355</v>
      </c>
      <c r="I133" s="29" t="s">
        <v>32</v>
      </c>
      <c r="J133" s="29">
        <v>1</v>
      </c>
      <c r="K133" s="39">
        <v>1</v>
      </c>
    </row>
    <row r="134" spans="1:11" ht="31.5" customHeight="1" x14ac:dyDescent="0.2">
      <c r="A134" s="20">
        <f t="shared" si="1"/>
        <v>125</v>
      </c>
      <c r="B134" s="45" t="s">
        <v>582</v>
      </c>
      <c r="C134" s="46" t="s">
        <v>166</v>
      </c>
      <c r="D134" s="24" t="s">
        <v>192</v>
      </c>
      <c r="E134" s="25" t="s">
        <v>552</v>
      </c>
      <c r="F134" s="33" t="s">
        <v>553</v>
      </c>
      <c r="G134" s="38" t="s">
        <v>186</v>
      </c>
      <c r="H134" s="23" t="s">
        <v>355</v>
      </c>
      <c r="I134" s="29" t="s">
        <v>32</v>
      </c>
      <c r="J134" s="29">
        <v>1</v>
      </c>
      <c r="K134" s="39">
        <v>1</v>
      </c>
    </row>
    <row r="135" spans="1:11" ht="51" customHeight="1" x14ac:dyDescent="0.2">
      <c r="A135" s="20">
        <f t="shared" si="1"/>
        <v>126</v>
      </c>
      <c r="B135" s="45" t="s">
        <v>582</v>
      </c>
      <c r="C135" s="46" t="s">
        <v>97</v>
      </c>
      <c r="D135" s="24" t="s">
        <v>563</v>
      </c>
      <c r="E135" s="25" t="s">
        <v>554</v>
      </c>
      <c r="F135" s="33" t="s">
        <v>359</v>
      </c>
      <c r="G135" s="38" t="s">
        <v>695</v>
      </c>
      <c r="H135" s="23" t="s">
        <v>335</v>
      </c>
      <c r="I135" s="29" t="s">
        <v>32</v>
      </c>
      <c r="J135" s="29">
        <v>1</v>
      </c>
      <c r="K135" s="39">
        <v>1</v>
      </c>
    </row>
    <row r="136" spans="1:11" ht="55.5" customHeight="1" x14ac:dyDescent="0.2">
      <c r="A136" s="20">
        <f t="shared" si="1"/>
        <v>127</v>
      </c>
      <c r="B136" s="45" t="s">
        <v>174</v>
      </c>
      <c r="C136" s="46" t="s">
        <v>21</v>
      </c>
      <c r="D136" s="24" t="s">
        <v>105</v>
      </c>
      <c r="E136" s="25" t="s">
        <v>433</v>
      </c>
      <c r="F136" s="36" t="s">
        <v>43</v>
      </c>
      <c r="G136" s="25" t="s">
        <v>429</v>
      </c>
      <c r="H136" s="23" t="s">
        <v>243</v>
      </c>
      <c r="I136" s="29" t="s">
        <v>32</v>
      </c>
      <c r="J136" s="29">
        <v>1</v>
      </c>
      <c r="K136" s="37">
        <v>1</v>
      </c>
    </row>
    <row r="137" spans="1:11" ht="52.5" customHeight="1" x14ac:dyDescent="0.2">
      <c r="A137" s="20">
        <f t="shared" si="1"/>
        <v>128</v>
      </c>
      <c r="B137" s="45" t="s">
        <v>174</v>
      </c>
      <c r="C137" s="46" t="s">
        <v>21</v>
      </c>
      <c r="D137" s="24" t="s">
        <v>211</v>
      </c>
      <c r="E137" s="25" t="s">
        <v>235</v>
      </c>
      <c r="F137" s="36" t="s">
        <v>698</v>
      </c>
      <c r="G137" s="25" t="s">
        <v>225</v>
      </c>
      <c r="H137" s="23" t="s">
        <v>243</v>
      </c>
      <c r="I137" s="29" t="s">
        <v>32</v>
      </c>
      <c r="J137" s="29">
        <v>1</v>
      </c>
      <c r="K137" s="37">
        <v>2</v>
      </c>
    </row>
    <row r="138" spans="1:11" ht="63" customHeight="1" x14ac:dyDescent="0.2">
      <c r="A138" s="20">
        <f t="shared" si="1"/>
        <v>129</v>
      </c>
      <c r="B138" s="45" t="s">
        <v>174</v>
      </c>
      <c r="C138" s="46" t="s">
        <v>21</v>
      </c>
      <c r="D138" s="24" t="s">
        <v>132</v>
      </c>
      <c r="E138" s="25" t="s">
        <v>373</v>
      </c>
      <c r="F138" s="36" t="s">
        <v>184</v>
      </c>
      <c r="G138" s="25" t="s">
        <v>370</v>
      </c>
      <c r="H138" s="23" t="s">
        <v>243</v>
      </c>
      <c r="I138" s="29" t="s">
        <v>32</v>
      </c>
      <c r="J138" s="29">
        <v>1</v>
      </c>
      <c r="K138" s="37">
        <v>1</v>
      </c>
    </row>
    <row r="139" spans="1:11" ht="51.75" customHeight="1" x14ac:dyDescent="0.2">
      <c r="A139" s="20">
        <f t="shared" si="1"/>
        <v>130</v>
      </c>
      <c r="B139" s="45" t="s">
        <v>174</v>
      </c>
      <c r="C139" s="46" t="s">
        <v>21</v>
      </c>
      <c r="D139" s="24" t="s">
        <v>426</v>
      </c>
      <c r="E139" s="25" t="s">
        <v>432</v>
      </c>
      <c r="F139" s="36" t="s">
        <v>133</v>
      </c>
      <c r="G139" s="25" t="s">
        <v>428</v>
      </c>
      <c r="H139" s="23" t="s">
        <v>243</v>
      </c>
      <c r="I139" s="29" t="s">
        <v>32</v>
      </c>
      <c r="J139" s="29">
        <v>1</v>
      </c>
      <c r="K139" s="37">
        <v>1</v>
      </c>
    </row>
    <row r="140" spans="1:11" ht="51.75" customHeight="1" x14ac:dyDescent="0.2">
      <c r="A140" s="20">
        <f t="shared" si="1"/>
        <v>131</v>
      </c>
      <c r="B140" s="45" t="s">
        <v>174</v>
      </c>
      <c r="C140" s="46" t="s">
        <v>21</v>
      </c>
      <c r="D140" s="24" t="s">
        <v>77</v>
      </c>
      <c r="E140" s="25" t="s">
        <v>431</v>
      </c>
      <c r="F140" s="36" t="s">
        <v>699</v>
      </c>
      <c r="G140" s="25" t="s">
        <v>427</v>
      </c>
      <c r="H140" s="23" t="s">
        <v>243</v>
      </c>
      <c r="I140" s="29" t="s">
        <v>32</v>
      </c>
      <c r="J140" s="29">
        <v>1</v>
      </c>
      <c r="K140" s="37">
        <v>2</v>
      </c>
    </row>
    <row r="141" spans="1:11" ht="56.25" customHeight="1" x14ac:dyDescent="0.2">
      <c r="A141" s="20">
        <f t="shared" si="1"/>
        <v>132</v>
      </c>
      <c r="B141" s="45" t="s">
        <v>174</v>
      </c>
      <c r="C141" s="46" t="s">
        <v>21</v>
      </c>
      <c r="D141" s="24" t="s">
        <v>134</v>
      </c>
      <c r="E141" s="25" t="s">
        <v>434</v>
      </c>
      <c r="F141" s="36" t="s">
        <v>700</v>
      </c>
      <c r="G141" s="25" t="s">
        <v>430</v>
      </c>
      <c r="H141" s="23" t="s">
        <v>243</v>
      </c>
      <c r="I141" s="29" t="s">
        <v>32</v>
      </c>
      <c r="J141" s="29">
        <v>1</v>
      </c>
      <c r="K141" s="37">
        <v>4</v>
      </c>
    </row>
    <row r="142" spans="1:11" ht="61.5" customHeight="1" x14ac:dyDescent="0.2">
      <c r="A142" s="20">
        <f t="shared" ref="A142:A197" si="2">A141+1</f>
        <v>133</v>
      </c>
      <c r="B142" s="45" t="s">
        <v>174</v>
      </c>
      <c r="C142" s="125" t="s">
        <v>21</v>
      </c>
      <c r="D142" s="124" t="s">
        <v>124</v>
      </c>
      <c r="E142" s="25" t="s">
        <v>439</v>
      </c>
      <c r="F142" s="36" t="s">
        <v>137</v>
      </c>
      <c r="G142" s="25" t="s">
        <v>436</v>
      </c>
      <c r="H142" s="23" t="s">
        <v>285</v>
      </c>
      <c r="I142" s="29" t="s">
        <v>32</v>
      </c>
      <c r="J142" s="29">
        <v>1</v>
      </c>
      <c r="K142" s="37">
        <v>1</v>
      </c>
    </row>
    <row r="143" spans="1:11" ht="68.25" customHeight="1" x14ac:dyDescent="0.2">
      <c r="A143" s="20">
        <f t="shared" si="2"/>
        <v>134</v>
      </c>
      <c r="B143" s="45" t="s">
        <v>174</v>
      </c>
      <c r="C143" s="125" t="s">
        <v>21</v>
      </c>
      <c r="D143" s="124" t="s">
        <v>135</v>
      </c>
      <c r="E143" s="25" t="s">
        <v>438</v>
      </c>
      <c r="F143" s="36" t="s">
        <v>136</v>
      </c>
      <c r="G143" s="25" t="s">
        <v>435</v>
      </c>
      <c r="H143" s="23" t="s">
        <v>286</v>
      </c>
      <c r="I143" s="29" t="s">
        <v>32</v>
      </c>
      <c r="J143" s="29">
        <v>1</v>
      </c>
      <c r="K143" s="37">
        <v>1</v>
      </c>
    </row>
    <row r="144" spans="1:11" ht="34.5" customHeight="1" x14ac:dyDescent="0.2">
      <c r="A144" s="20">
        <f t="shared" si="2"/>
        <v>135</v>
      </c>
      <c r="B144" s="45" t="s">
        <v>174</v>
      </c>
      <c r="C144" s="125" t="s">
        <v>181</v>
      </c>
      <c r="D144" s="124" t="s">
        <v>138</v>
      </c>
      <c r="E144" s="25" t="s">
        <v>440</v>
      </c>
      <c r="F144" s="36" t="s">
        <v>701</v>
      </c>
      <c r="G144" s="25" t="s">
        <v>437</v>
      </c>
      <c r="H144" s="23" t="s">
        <v>286</v>
      </c>
      <c r="I144" s="29" t="s">
        <v>32</v>
      </c>
      <c r="J144" s="29">
        <v>1</v>
      </c>
      <c r="K144" s="37">
        <v>2</v>
      </c>
    </row>
    <row r="145" spans="1:12" ht="45" customHeight="1" x14ac:dyDescent="0.2">
      <c r="A145" s="20">
        <f t="shared" si="2"/>
        <v>136</v>
      </c>
      <c r="B145" s="45" t="s">
        <v>174</v>
      </c>
      <c r="C145" s="46" t="s">
        <v>181</v>
      </c>
      <c r="D145" s="24" t="s">
        <v>555</v>
      </c>
      <c r="E145" s="25" t="s">
        <v>556</v>
      </c>
      <c r="F145" s="36" t="s">
        <v>702</v>
      </c>
      <c r="G145" s="25" t="s">
        <v>557</v>
      </c>
      <c r="H145" s="23" t="s">
        <v>284</v>
      </c>
      <c r="I145" s="29" t="s">
        <v>32</v>
      </c>
      <c r="J145" s="29">
        <v>1</v>
      </c>
      <c r="K145" s="37">
        <v>6</v>
      </c>
    </row>
    <row r="146" spans="1:12" ht="39" customHeight="1" x14ac:dyDescent="0.2">
      <c r="A146" s="20">
        <f t="shared" si="2"/>
        <v>137</v>
      </c>
      <c r="B146" s="45" t="s">
        <v>174</v>
      </c>
      <c r="C146" s="46" t="s">
        <v>181</v>
      </c>
      <c r="D146" s="24" t="s">
        <v>246</v>
      </c>
      <c r="E146" s="25" t="s">
        <v>276</v>
      </c>
      <c r="F146" s="36" t="s">
        <v>425</v>
      </c>
      <c r="G146" s="25" t="s">
        <v>264</v>
      </c>
      <c r="H146" s="23" t="s">
        <v>285</v>
      </c>
      <c r="I146" s="29" t="s">
        <v>32</v>
      </c>
      <c r="J146" s="29">
        <v>1</v>
      </c>
      <c r="K146" s="37">
        <v>1</v>
      </c>
    </row>
    <row r="147" spans="1:12" ht="76.5" customHeight="1" x14ac:dyDescent="0.2">
      <c r="A147" s="20">
        <f t="shared" si="2"/>
        <v>138</v>
      </c>
      <c r="B147" s="45" t="s">
        <v>174</v>
      </c>
      <c r="C147" s="46" t="s">
        <v>185</v>
      </c>
      <c r="D147" s="24" t="s">
        <v>566</v>
      </c>
      <c r="E147" s="25" t="s">
        <v>703</v>
      </c>
      <c r="F147" s="33" t="s">
        <v>704</v>
      </c>
      <c r="G147" s="38" t="s">
        <v>705</v>
      </c>
      <c r="H147" s="23" t="s">
        <v>287</v>
      </c>
      <c r="I147" s="29" t="s">
        <v>32</v>
      </c>
      <c r="J147" s="29">
        <v>1</v>
      </c>
      <c r="K147" s="39">
        <v>2</v>
      </c>
    </row>
    <row r="148" spans="1:12" ht="25.5" customHeight="1" x14ac:dyDescent="0.2">
      <c r="A148" s="20">
        <f t="shared" si="2"/>
        <v>139</v>
      </c>
      <c r="B148" s="45" t="s">
        <v>174</v>
      </c>
      <c r="C148" s="125" t="s">
        <v>139</v>
      </c>
      <c r="D148" s="124" t="s">
        <v>141</v>
      </c>
      <c r="E148" s="25" t="s">
        <v>558</v>
      </c>
      <c r="F148" s="36" t="s">
        <v>142</v>
      </c>
      <c r="G148" s="25" t="s">
        <v>706</v>
      </c>
      <c r="H148" s="23" t="s">
        <v>723</v>
      </c>
      <c r="I148" s="29" t="s">
        <v>32</v>
      </c>
      <c r="J148" s="29">
        <v>1</v>
      </c>
      <c r="K148" s="37">
        <v>1</v>
      </c>
    </row>
    <row r="149" spans="1:12" ht="51" customHeight="1" x14ac:dyDescent="0.2">
      <c r="A149" s="20">
        <f t="shared" si="2"/>
        <v>140</v>
      </c>
      <c r="B149" s="45" t="s">
        <v>174</v>
      </c>
      <c r="C149" s="46" t="s">
        <v>143</v>
      </c>
      <c r="D149" s="24" t="s">
        <v>144</v>
      </c>
      <c r="E149" s="25" t="s">
        <v>145</v>
      </c>
      <c r="F149" s="36" t="s">
        <v>146</v>
      </c>
      <c r="G149" s="25" t="s">
        <v>707</v>
      </c>
      <c r="H149" s="23" t="s">
        <v>307</v>
      </c>
      <c r="I149" s="29" t="s">
        <v>32</v>
      </c>
      <c r="J149" s="29">
        <v>1</v>
      </c>
      <c r="K149" s="37">
        <v>1</v>
      </c>
    </row>
    <row r="150" spans="1:12" ht="42.75" customHeight="1" x14ac:dyDescent="0.2">
      <c r="A150" s="20">
        <f t="shared" si="2"/>
        <v>141</v>
      </c>
      <c r="B150" s="45" t="s">
        <v>174</v>
      </c>
      <c r="C150" s="46" t="s">
        <v>143</v>
      </c>
      <c r="D150" s="24" t="s">
        <v>197</v>
      </c>
      <c r="E150" s="25" t="s">
        <v>198</v>
      </c>
      <c r="F150" s="33" t="s">
        <v>199</v>
      </c>
      <c r="G150" s="38" t="s">
        <v>708</v>
      </c>
      <c r="H150" s="23" t="s">
        <v>243</v>
      </c>
      <c r="I150" s="29" t="s">
        <v>32</v>
      </c>
      <c r="J150" s="29">
        <v>1</v>
      </c>
      <c r="K150" s="39">
        <v>1</v>
      </c>
    </row>
    <row r="151" spans="1:12" ht="51.75" customHeight="1" x14ac:dyDescent="0.2">
      <c r="A151" s="20">
        <f t="shared" si="2"/>
        <v>142</v>
      </c>
      <c r="B151" s="45" t="s">
        <v>174</v>
      </c>
      <c r="C151" s="46" t="s">
        <v>143</v>
      </c>
      <c r="D151" s="24" t="s">
        <v>147</v>
      </c>
      <c r="E151" s="25" t="s">
        <v>709</v>
      </c>
      <c r="F151" s="36" t="s">
        <v>148</v>
      </c>
      <c r="G151" s="25" t="s">
        <v>710</v>
      </c>
      <c r="H151" s="23" t="s">
        <v>306</v>
      </c>
      <c r="I151" s="29" t="s">
        <v>32</v>
      </c>
      <c r="J151" s="29">
        <v>1</v>
      </c>
      <c r="K151" s="37">
        <v>1</v>
      </c>
    </row>
    <row r="152" spans="1:12" ht="37.5" customHeight="1" x14ac:dyDescent="0.2">
      <c r="A152" s="20">
        <f t="shared" si="2"/>
        <v>143</v>
      </c>
      <c r="B152" s="45" t="s">
        <v>174</v>
      </c>
      <c r="C152" s="46" t="s">
        <v>143</v>
      </c>
      <c r="D152" s="24" t="s">
        <v>149</v>
      </c>
      <c r="E152" s="25" t="s">
        <v>150</v>
      </c>
      <c r="F152" s="36" t="s">
        <v>121</v>
      </c>
      <c r="G152" s="25" t="s">
        <v>711</v>
      </c>
      <c r="H152" s="23" t="s">
        <v>724</v>
      </c>
      <c r="I152" s="29" t="s">
        <v>32</v>
      </c>
      <c r="J152" s="29">
        <v>1</v>
      </c>
      <c r="K152" s="37">
        <v>1</v>
      </c>
    </row>
    <row r="153" spans="1:12" ht="35.25" customHeight="1" x14ac:dyDescent="0.2">
      <c r="A153" s="20">
        <f t="shared" si="2"/>
        <v>144</v>
      </c>
      <c r="B153" s="45" t="s">
        <v>174</v>
      </c>
      <c r="C153" s="125" t="s">
        <v>177</v>
      </c>
      <c r="D153" s="124" t="s">
        <v>179</v>
      </c>
      <c r="E153" s="25" t="s">
        <v>559</v>
      </c>
      <c r="F153" s="36" t="s">
        <v>178</v>
      </c>
      <c r="G153" s="25" t="s">
        <v>180</v>
      </c>
      <c r="H153" s="23" t="s">
        <v>725</v>
      </c>
      <c r="I153" s="29" t="s">
        <v>32</v>
      </c>
      <c r="J153" s="29">
        <v>1</v>
      </c>
      <c r="K153" s="37">
        <v>1</v>
      </c>
    </row>
    <row r="154" spans="1:12" ht="56.25" customHeight="1" x14ac:dyDescent="0.2">
      <c r="A154" s="20">
        <f t="shared" si="2"/>
        <v>145</v>
      </c>
      <c r="B154" s="45" t="s">
        <v>174</v>
      </c>
      <c r="C154" s="125" t="s">
        <v>153</v>
      </c>
      <c r="D154" s="124" t="s">
        <v>41</v>
      </c>
      <c r="E154" s="25" t="s">
        <v>330</v>
      </c>
      <c r="F154" s="36" t="s">
        <v>323</v>
      </c>
      <c r="G154" s="25" t="s">
        <v>328</v>
      </c>
      <c r="H154" s="23" t="s">
        <v>308</v>
      </c>
      <c r="I154" s="29" t="s">
        <v>32</v>
      </c>
      <c r="J154" s="29">
        <v>1</v>
      </c>
      <c r="K154" s="37">
        <v>1</v>
      </c>
    </row>
    <row r="155" spans="1:12" ht="48" customHeight="1" x14ac:dyDescent="0.2">
      <c r="A155" s="20">
        <f t="shared" si="2"/>
        <v>146</v>
      </c>
      <c r="B155" s="45" t="s">
        <v>174</v>
      </c>
      <c r="C155" s="125" t="s">
        <v>155</v>
      </c>
      <c r="D155" s="124" t="s">
        <v>159</v>
      </c>
      <c r="E155" s="25" t="s">
        <v>712</v>
      </c>
      <c r="F155" s="36" t="s">
        <v>27</v>
      </c>
      <c r="G155" s="25" t="s">
        <v>713</v>
      </c>
      <c r="H155" s="23" t="s">
        <v>318</v>
      </c>
      <c r="I155" s="29" t="s">
        <v>32</v>
      </c>
      <c r="J155" s="29">
        <v>1</v>
      </c>
      <c r="K155" s="37">
        <v>1</v>
      </c>
    </row>
    <row r="156" spans="1:12" s="19" customFormat="1" ht="37.5" customHeight="1" x14ac:dyDescent="0.2">
      <c r="A156" s="20">
        <f t="shared" si="2"/>
        <v>147</v>
      </c>
      <c r="B156" s="45" t="s">
        <v>174</v>
      </c>
      <c r="C156" s="125" t="s">
        <v>155</v>
      </c>
      <c r="D156" s="124" t="s">
        <v>163</v>
      </c>
      <c r="E156" s="25" t="s">
        <v>164</v>
      </c>
      <c r="F156" s="36" t="s">
        <v>165</v>
      </c>
      <c r="G156" s="25" t="s">
        <v>714</v>
      </c>
      <c r="H156" s="23" t="s">
        <v>726</v>
      </c>
      <c r="I156" s="29" t="s">
        <v>32</v>
      </c>
      <c r="J156" s="29">
        <v>1</v>
      </c>
      <c r="K156" s="37">
        <v>1</v>
      </c>
    </row>
    <row r="157" spans="1:12" ht="45.75" customHeight="1" x14ac:dyDescent="0.2">
      <c r="A157" s="20">
        <f t="shared" si="2"/>
        <v>148</v>
      </c>
      <c r="B157" s="45" t="s">
        <v>174</v>
      </c>
      <c r="C157" s="46" t="s">
        <v>166</v>
      </c>
      <c r="D157" s="24" t="s">
        <v>173</v>
      </c>
      <c r="E157" s="25" t="s">
        <v>715</v>
      </c>
      <c r="F157" s="36" t="s">
        <v>167</v>
      </c>
      <c r="G157" s="25" t="s">
        <v>716</v>
      </c>
      <c r="H157" s="23" t="s">
        <v>727</v>
      </c>
      <c r="I157" s="29" t="s">
        <v>32</v>
      </c>
      <c r="J157" s="29">
        <v>1</v>
      </c>
      <c r="K157" s="37">
        <v>1</v>
      </c>
    </row>
    <row r="158" spans="1:12" ht="43.5" customHeight="1" x14ac:dyDescent="0.2">
      <c r="A158" s="20">
        <f t="shared" si="2"/>
        <v>149</v>
      </c>
      <c r="B158" s="45" t="s">
        <v>174</v>
      </c>
      <c r="C158" s="46" t="s">
        <v>166</v>
      </c>
      <c r="D158" s="24" t="s">
        <v>195</v>
      </c>
      <c r="E158" s="25" t="s">
        <v>717</v>
      </c>
      <c r="F158" s="36" t="s">
        <v>718</v>
      </c>
      <c r="G158" s="25" t="s">
        <v>719</v>
      </c>
      <c r="H158" s="23" t="s">
        <v>669</v>
      </c>
      <c r="I158" s="29" t="s">
        <v>32</v>
      </c>
      <c r="J158" s="29">
        <v>1</v>
      </c>
      <c r="K158" s="37">
        <v>1</v>
      </c>
    </row>
    <row r="159" spans="1:12" ht="48.75" customHeight="1" x14ac:dyDescent="0.2">
      <c r="A159" s="20">
        <f t="shared" si="2"/>
        <v>150</v>
      </c>
      <c r="B159" s="45" t="s">
        <v>174</v>
      </c>
      <c r="C159" s="46" t="s">
        <v>168</v>
      </c>
      <c r="D159" s="24" t="s">
        <v>577</v>
      </c>
      <c r="E159" s="25" t="s">
        <v>578</v>
      </c>
      <c r="F159" s="33" t="s">
        <v>720</v>
      </c>
      <c r="G159" s="38" t="s">
        <v>721</v>
      </c>
      <c r="H159" s="23" t="s">
        <v>728</v>
      </c>
      <c r="I159" s="29" t="s">
        <v>32</v>
      </c>
      <c r="J159" s="29">
        <v>1</v>
      </c>
      <c r="K159" s="39">
        <v>1</v>
      </c>
    </row>
    <row r="160" spans="1:12" s="17" customFormat="1" ht="40.5" customHeight="1" x14ac:dyDescent="0.2">
      <c r="A160" s="20">
        <f t="shared" si="2"/>
        <v>151</v>
      </c>
      <c r="B160" s="45" t="s">
        <v>174</v>
      </c>
      <c r="C160" s="46" t="s">
        <v>97</v>
      </c>
      <c r="D160" s="24" t="s">
        <v>564</v>
      </c>
      <c r="E160" s="25" t="s">
        <v>560</v>
      </c>
      <c r="F160" s="33" t="s">
        <v>359</v>
      </c>
      <c r="G160" s="38" t="s">
        <v>722</v>
      </c>
      <c r="H160" s="23" t="s">
        <v>335</v>
      </c>
      <c r="I160" s="29" t="s">
        <v>32</v>
      </c>
      <c r="J160" s="29">
        <v>1</v>
      </c>
      <c r="K160" s="39">
        <v>1</v>
      </c>
      <c r="L160" s="14"/>
    </row>
    <row r="161" spans="1:11" ht="25.5" customHeight="1" x14ac:dyDescent="0.2">
      <c r="A161" s="20">
        <f t="shared" si="2"/>
        <v>152</v>
      </c>
      <c r="B161" s="86" t="s">
        <v>447</v>
      </c>
      <c r="C161" s="86"/>
      <c r="D161" s="24" t="s">
        <v>448</v>
      </c>
      <c r="E161" s="25" t="s">
        <v>449</v>
      </c>
      <c r="F161" s="28"/>
      <c r="G161" s="25" t="s">
        <v>450</v>
      </c>
      <c r="H161" s="23"/>
      <c r="I161" s="29" t="s">
        <v>32</v>
      </c>
      <c r="J161" s="29">
        <v>1</v>
      </c>
      <c r="K161" s="29">
        <v>1</v>
      </c>
    </row>
    <row r="162" spans="1:11" ht="39.75" customHeight="1" x14ac:dyDescent="0.2">
      <c r="A162" s="20">
        <f t="shared" si="2"/>
        <v>153</v>
      </c>
      <c r="B162" s="86" t="s">
        <v>447</v>
      </c>
      <c r="C162" s="86"/>
      <c r="D162" s="24" t="s">
        <v>451</v>
      </c>
      <c r="E162" s="25" t="s">
        <v>732</v>
      </c>
      <c r="F162" s="28"/>
      <c r="G162" s="25" t="s">
        <v>450</v>
      </c>
      <c r="H162" s="23"/>
      <c r="I162" s="29" t="s">
        <v>32</v>
      </c>
      <c r="J162" s="29">
        <v>1</v>
      </c>
      <c r="K162" s="29">
        <v>1</v>
      </c>
    </row>
    <row r="163" spans="1:11" s="17" customFormat="1" ht="27" customHeight="1" x14ac:dyDescent="0.2">
      <c r="A163" s="20">
        <f t="shared" si="2"/>
        <v>154</v>
      </c>
      <c r="B163" s="86" t="s">
        <v>447</v>
      </c>
      <c r="C163" s="86"/>
      <c r="D163" s="24" t="s">
        <v>729</v>
      </c>
      <c r="E163" s="25" t="s">
        <v>452</v>
      </c>
      <c r="F163" s="28"/>
      <c r="G163" s="25" t="s">
        <v>453</v>
      </c>
      <c r="H163" s="23"/>
      <c r="I163" s="29" t="s">
        <v>32</v>
      </c>
      <c r="J163" s="29">
        <v>1</v>
      </c>
      <c r="K163" s="29">
        <v>1</v>
      </c>
    </row>
    <row r="164" spans="1:11" ht="26.25" customHeight="1" x14ac:dyDescent="0.2">
      <c r="A164" s="20">
        <f t="shared" si="2"/>
        <v>155</v>
      </c>
      <c r="B164" s="86" t="s">
        <v>447</v>
      </c>
      <c r="C164" s="86"/>
      <c r="D164" s="24" t="s">
        <v>454</v>
      </c>
      <c r="E164" s="25" t="s">
        <v>455</v>
      </c>
      <c r="F164" s="28"/>
      <c r="G164" s="25" t="s">
        <v>456</v>
      </c>
      <c r="H164" s="23"/>
      <c r="I164" s="29" t="s">
        <v>32</v>
      </c>
      <c r="J164" s="29">
        <v>1</v>
      </c>
      <c r="K164" s="29">
        <v>1</v>
      </c>
    </row>
    <row r="165" spans="1:11" ht="25.5" customHeight="1" x14ac:dyDescent="0.2">
      <c r="A165" s="20">
        <f t="shared" si="2"/>
        <v>156</v>
      </c>
      <c r="B165" s="86" t="s">
        <v>447</v>
      </c>
      <c r="C165" s="86"/>
      <c r="D165" s="24" t="s">
        <v>730</v>
      </c>
      <c r="E165" s="25" t="s">
        <v>733</v>
      </c>
      <c r="F165" s="28"/>
      <c r="G165" s="25" t="s">
        <v>457</v>
      </c>
      <c r="H165" s="23"/>
      <c r="I165" s="29" t="s">
        <v>32</v>
      </c>
      <c r="J165" s="29">
        <v>1</v>
      </c>
      <c r="K165" s="29">
        <v>1</v>
      </c>
    </row>
    <row r="166" spans="1:11" ht="25.5" customHeight="1" x14ac:dyDescent="0.2">
      <c r="A166" s="20">
        <f t="shared" si="2"/>
        <v>157</v>
      </c>
      <c r="B166" s="86" t="s">
        <v>447</v>
      </c>
      <c r="C166" s="86"/>
      <c r="D166" s="24" t="s">
        <v>458</v>
      </c>
      <c r="E166" s="25" t="s">
        <v>459</v>
      </c>
      <c r="F166" s="28"/>
      <c r="G166" s="25" t="s">
        <v>460</v>
      </c>
      <c r="H166" s="23"/>
      <c r="I166" s="29" t="s">
        <v>32</v>
      </c>
      <c r="J166" s="29">
        <v>1</v>
      </c>
      <c r="K166" s="29">
        <v>4</v>
      </c>
    </row>
    <row r="167" spans="1:11" ht="25.5" customHeight="1" x14ac:dyDescent="0.2">
      <c r="A167" s="20">
        <f t="shared" si="2"/>
        <v>158</v>
      </c>
      <c r="B167" s="86" t="s">
        <v>447</v>
      </c>
      <c r="C167" s="86"/>
      <c r="D167" s="24" t="s">
        <v>461</v>
      </c>
      <c r="E167" s="25" t="s">
        <v>462</v>
      </c>
      <c r="F167" s="28"/>
      <c r="G167" s="25" t="s">
        <v>463</v>
      </c>
      <c r="H167" s="23"/>
      <c r="I167" s="29" t="s">
        <v>32</v>
      </c>
      <c r="J167" s="29">
        <v>1</v>
      </c>
      <c r="K167" s="29">
        <v>8</v>
      </c>
    </row>
    <row r="168" spans="1:11" ht="27" customHeight="1" x14ac:dyDescent="0.2">
      <c r="A168" s="20">
        <f t="shared" si="2"/>
        <v>159</v>
      </c>
      <c r="B168" s="86" t="s">
        <v>447</v>
      </c>
      <c r="C168" s="86"/>
      <c r="D168" s="24" t="s">
        <v>464</v>
      </c>
      <c r="E168" s="25" t="s">
        <v>734</v>
      </c>
      <c r="F168" s="28"/>
      <c r="G168" s="25" t="s">
        <v>465</v>
      </c>
      <c r="H168" s="23"/>
      <c r="I168" s="29" t="s">
        <v>32</v>
      </c>
      <c r="J168" s="29">
        <v>1</v>
      </c>
      <c r="K168" s="29">
        <v>1</v>
      </c>
    </row>
    <row r="169" spans="1:11" ht="36" customHeight="1" x14ac:dyDescent="0.2">
      <c r="A169" s="20">
        <f t="shared" si="2"/>
        <v>160</v>
      </c>
      <c r="B169" s="86" t="s">
        <v>447</v>
      </c>
      <c r="C169" s="86"/>
      <c r="D169" s="24" t="s">
        <v>466</v>
      </c>
      <c r="E169" s="25" t="s">
        <v>467</v>
      </c>
      <c r="F169" s="28"/>
      <c r="G169" s="25" t="s">
        <v>465</v>
      </c>
      <c r="H169" s="23"/>
      <c r="I169" s="29" t="s">
        <v>32</v>
      </c>
      <c r="J169" s="29">
        <v>1</v>
      </c>
      <c r="K169" s="29">
        <v>3</v>
      </c>
    </row>
    <row r="170" spans="1:11" ht="40.5" customHeight="1" x14ac:dyDescent="0.2">
      <c r="A170" s="20">
        <f t="shared" si="2"/>
        <v>161</v>
      </c>
      <c r="B170" s="86" t="s">
        <v>447</v>
      </c>
      <c r="C170" s="86"/>
      <c r="D170" s="24" t="s">
        <v>624</v>
      </c>
      <c r="E170" s="25" t="s">
        <v>625</v>
      </c>
      <c r="F170" s="28"/>
      <c r="G170" s="25" t="s">
        <v>626</v>
      </c>
      <c r="H170" s="23"/>
      <c r="I170" s="29" t="s">
        <v>32</v>
      </c>
      <c r="J170" s="29">
        <v>1</v>
      </c>
      <c r="K170" s="29">
        <v>1</v>
      </c>
    </row>
    <row r="171" spans="1:11" ht="40.5" customHeight="1" x14ac:dyDescent="0.2">
      <c r="A171" s="20">
        <f t="shared" si="2"/>
        <v>162</v>
      </c>
      <c r="B171" s="86" t="s">
        <v>447</v>
      </c>
      <c r="C171" s="86"/>
      <c r="D171" s="24" t="s">
        <v>468</v>
      </c>
      <c r="E171" s="25" t="s">
        <v>469</v>
      </c>
      <c r="F171" s="28"/>
      <c r="G171" s="25" t="s">
        <v>470</v>
      </c>
      <c r="H171" s="23"/>
      <c r="I171" s="29" t="s">
        <v>32</v>
      </c>
      <c r="J171" s="29">
        <v>1</v>
      </c>
      <c r="K171" s="29">
        <v>2</v>
      </c>
    </row>
    <row r="172" spans="1:11" s="17" customFormat="1" ht="53.25" customHeight="1" x14ac:dyDescent="0.2">
      <c r="A172" s="20">
        <f t="shared" si="2"/>
        <v>163</v>
      </c>
      <c r="B172" s="86" t="s">
        <v>447</v>
      </c>
      <c r="C172" s="86"/>
      <c r="D172" s="24" t="s">
        <v>731</v>
      </c>
      <c r="E172" s="25" t="s">
        <v>471</v>
      </c>
      <c r="F172" s="28"/>
      <c r="G172" s="25" t="s">
        <v>472</v>
      </c>
      <c r="H172" s="23"/>
      <c r="I172" s="29" t="s">
        <v>32</v>
      </c>
      <c r="J172" s="21">
        <v>1</v>
      </c>
      <c r="K172" s="29">
        <v>4</v>
      </c>
    </row>
    <row r="173" spans="1:11" ht="45" customHeight="1" x14ac:dyDescent="0.2">
      <c r="A173" s="20">
        <f t="shared" si="2"/>
        <v>164</v>
      </c>
      <c r="B173" s="86" t="s">
        <v>447</v>
      </c>
      <c r="C173" s="86"/>
      <c r="D173" s="24" t="s">
        <v>473</v>
      </c>
      <c r="E173" s="25" t="s">
        <v>474</v>
      </c>
      <c r="F173" s="28"/>
      <c r="G173" s="25" t="s">
        <v>475</v>
      </c>
      <c r="H173" s="23"/>
      <c r="I173" s="29" t="s">
        <v>32</v>
      </c>
      <c r="J173" s="21">
        <v>1</v>
      </c>
      <c r="K173" s="29">
        <v>2</v>
      </c>
    </row>
    <row r="174" spans="1:11" s="17" customFormat="1" ht="104.25" customHeight="1" x14ac:dyDescent="0.2">
      <c r="A174" s="20">
        <f t="shared" si="2"/>
        <v>165</v>
      </c>
      <c r="B174" s="86" t="s">
        <v>447</v>
      </c>
      <c r="C174" s="86"/>
      <c r="D174" s="24" t="s">
        <v>595</v>
      </c>
      <c r="E174" s="25" t="s">
        <v>735</v>
      </c>
      <c r="F174" s="28"/>
      <c r="G174" s="25" t="s">
        <v>735</v>
      </c>
      <c r="H174" s="23"/>
      <c r="I174" s="29" t="s">
        <v>32</v>
      </c>
      <c r="J174" s="21" t="s">
        <v>476</v>
      </c>
      <c r="K174" s="29">
        <v>120</v>
      </c>
    </row>
    <row r="175" spans="1:11" ht="91.5" customHeight="1" x14ac:dyDescent="0.2">
      <c r="A175" s="20">
        <f t="shared" si="2"/>
        <v>166</v>
      </c>
      <c r="B175" s="86" t="s">
        <v>447</v>
      </c>
      <c r="C175" s="86"/>
      <c r="D175" s="24" t="s">
        <v>596</v>
      </c>
      <c r="E175" s="25" t="s">
        <v>736</v>
      </c>
      <c r="F175" s="28"/>
      <c r="G175" s="28" t="s">
        <v>736</v>
      </c>
      <c r="H175" s="23"/>
      <c r="I175" s="29" t="s">
        <v>32</v>
      </c>
      <c r="J175" s="29" t="s">
        <v>476</v>
      </c>
      <c r="K175" s="29">
        <v>120</v>
      </c>
    </row>
    <row r="176" spans="1:11" ht="42.75" customHeight="1" x14ac:dyDescent="0.2">
      <c r="A176" s="20">
        <f t="shared" si="2"/>
        <v>167</v>
      </c>
      <c r="B176" s="86" t="s">
        <v>447</v>
      </c>
      <c r="C176" s="86"/>
      <c r="D176" s="24" t="s">
        <v>477</v>
      </c>
      <c r="E176" s="25" t="s">
        <v>478</v>
      </c>
      <c r="F176" s="28"/>
      <c r="G176" s="28" t="s">
        <v>479</v>
      </c>
      <c r="H176" s="23"/>
      <c r="I176" s="29" t="s">
        <v>32</v>
      </c>
      <c r="J176" s="29">
        <v>1</v>
      </c>
      <c r="K176" s="29">
        <v>1</v>
      </c>
    </row>
    <row r="177" spans="1:11" ht="25.5" customHeight="1" x14ac:dyDescent="0.2">
      <c r="A177" s="122">
        <f t="shared" si="2"/>
        <v>168</v>
      </c>
      <c r="B177" s="123" t="s">
        <v>447</v>
      </c>
      <c r="C177" s="123"/>
      <c r="D177" s="124" t="s">
        <v>480</v>
      </c>
      <c r="E177" s="25" t="s">
        <v>481</v>
      </c>
      <c r="F177" s="28"/>
      <c r="G177" s="28" t="s">
        <v>481</v>
      </c>
      <c r="H177" s="23"/>
      <c r="I177" s="29" t="s">
        <v>32</v>
      </c>
      <c r="J177" s="21">
        <v>1</v>
      </c>
      <c r="K177" s="29">
        <v>4</v>
      </c>
    </row>
    <row r="178" spans="1:11" ht="25.5" customHeight="1" x14ac:dyDescent="0.2">
      <c r="A178" s="20">
        <f t="shared" si="2"/>
        <v>169</v>
      </c>
      <c r="B178" s="86" t="s">
        <v>447</v>
      </c>
      <c r="C178" s="86"/>
      <c r="D178" s="24" t="s">
        <v>482</v>
      </c>
      <c r="E178" s="25" t="s">
        <v>483</v>
      </c>
      <c r="F178" s="28"/>
      <c r="G178" s="28" t="s">
        <v>484</v>
      </c>
      <c r="H178" s="23"/>
      <c r="I178" s="29" t="s">
        <v>32</v>
      </c>
      <c r="J178" s="21">
        <v>1</v>
      </c>
      <c r="K178" s="29">
        <v>4</v>
      </c>
    </row>
    <row r="179" spans="1:11" ht="78.75" customHeight="1" x14ac:dyDescent="0.2">
      <c r="A179" s="20">
        <f t="shared" si="2"/>
        <v>170</v>
      </c>
      <c r="B179" s="86" t="s">
        <v>447</v>
      </c>
      <c r="C179" s="86"/>
      <c r="D179" s="24" t="s">
        <v>561</v>
      </c>
      <c r="E179" s="25" t="s">
        <v>567</v>
      </c>
      <c r="F179" s="28"/>
      <c r="G179" s="28" t="s">
        <v>568</v>
      </c>
      <c r="H179" s="23"/>
      <c r="I179" s="29" t="s">
        <v>476</v>
      </c>
      <c r="J179" s="21">
        <v>100</v>
      </c>
      <c r="K179" s="29">
        <v>1</v>
      </c>
    </row>
    <row r="180" spans="1:11" ht="30" customHeight="1" x14ac:dyDescent="0.2">
      <c r="A180" s="20">
        <f t="shared" si="2"/>
        <v>171</v>
      </c>
      <c r="B180" s="86" t="s">
        <v>447</v>
      </c>
      <c r="C180" s="86"/>
      <c r="D180" s="24" t="s">
        <v>485</v>
      </c>
      <c r="E180" s="25" t="s">
        <v>486</v>
      </c>
      <c r="F180" s="28" t="s">
        <v>487</v>
      </c>
      <c r="G180" s="28" t="s">
        <v>488</v>
      </c>
      <c r="H180" s="23" t="s">
        <v>443</v>
      </c>
      <c r="I180" s="29" t="s">
        <v>32</v>
      </c>
      <c r="J180" s="21">
        <v>1</v>
      </c>
      <c r="K180" s="29">
        <v>1</v>
      </c>
    </row>
    <row r="181" spans="1:11" ht="72" customHeight="1" x14ac:dyDescent="0.2">
      <c r="A181" s="20">
        <f t="shared" si="2"/>
        <v>172</v>
      </c>
      <c r="B181" s="86" t="s">
        <v>447</v>
      </c>
      <c r="C181" s="86"/>
      <c r="D181" s="24" t="s">
        <v>489</v>
      </c>
      <c r="E181" s="25" t="s">
        <v>737</v>
      </c>
      <c r="F181" s="28"/>
      <c r="G181" s="28" t="s">
        <v>737</v>
      </c>
      <c r="H181" s="23"/>
      <c r="I181" s="29" t="s">
        <v>32</v>
      </c>
      <c r="J181" s="29">
        <v>1</v>
      </c>
      <c r="K181" s="29">
        <v>1</v>
      </c>
    </row>
    <row r="182" spans="1:11" s="17" customFormat="1" ht="29.25" customHeight="1" x14ac:dyDescent="0.2">
      <c r="A182" s="20">
        <f t="shared" si="2"/>
        <v>173</v>
      </c>
      <c r="B182" s="86" t="s">
        <v>447</v>
      </c>
      <c r="C182" s="86"/>
      <c r="D182" s="24" t="s">
        <v>507</v>
      </c>
      <c r="E182" s="25" t="s">
        <v>604</v>
      </c>
      <c r="F182" s="28" t="s">
        <v>487</v>
      </c>
      <c r="G182" s="28" t="s">
        <v>605</v>
      </c>
      <c r="H182" s="23" t="s">
        <v>443</v>
      </c>
      <c r="I182" s="29" t="s">
        <v>476</v>
      </c>
      <c r="J182" s="21">
        <v>40</v>
      </c>
      <c r="K182" s="29">
        <v>1</v>
      </c>
    </row>
    <row r="183" spans="1:11" ht="54.75" customHeight="1" x14ac:dyDescent="0.2">
      <c r="A183" s="20">
        <f t="shared" si="2"/>
        <v>174</v>
      </c>
      <c r="B183" s="86" t="s">
        <v>447</v>
      </c>
      <c r="C183" s="86"/>
      <c r="D183" s="24" t="s">
        <v>743</v>
      </c>
      <c r="E183" s="25" t="s">
        <v>738</v>
      </c>
      <c r="F183" s="28"/>
      <c r="G183" s="28" t="s">
        <v>740</v>
      </c>
      <c r="H183" s="23"/>
      <c r="I183" s="29" t="s">
        <v>32</v>
      </c>
      <c r="J183" s="21">
        <v>1</v>
      </c>
      <c r="K183" s="29">
        <v>1</v>
      </c>
    </row>
    <row r="184" spans="1:11" ht="86.25" customHeight="1" x14ac:dyDescent="0.2">
      <c r="A184" s="20">
        <f t="shared" si="2"/>
        <v>175</v>
      </c>
      <c r="B184" s="86" t="s">
        <v>447</v>
      </c>
      <c r="C184" s="86"/>
      <c r="D184" s="24" t="s">
        <v>602</v>
      </c>
      <c r="E184" s="25" t="s">
        <v>739</v>
      </c>
      <c r="F184" s="28"/>
      <c r="G184" s="28" t="s">
        <v>739</v>
      </c>
      <c r="H184" s="23"/>
      <c r="I184" s="29" t="s">
        <v>32</v>
      </c>
      <c r="J184" s="29">
        <v>1</v>
      </c>
      <c r="K184" s="34">
        <v>1</v>
      </c>
    </row>
    <row r="185" spans="1:11" ht="38.25" customHeight="1" x14ac:dyDescent="0.2">
      <c r="A185" s="20">
        <f t="shared" si="2"/>
        <v>176</v>
      </c>
      <c r="B185" s="86" t="s">
        <v>447</v>
      </c>
      <c r="C185" s="86"/>
      <c r="D185" s="24" t="s">
        <v>621</v>
      </c>
      <c r="E185" s="25" t="s">
        <v>620</v>
      </c>
      <c r="F185" s="28"/>
      <c r="G185" s="28" t="s">
        <v>622</v>
      </c>
      <c r="H185" s="23"/>
      <c r="I185" s="29" t="s">
        <v>32</v>
      </c>
      <c r="J185" s="21">
        <v>1</v>
      </c>
      <c r="K185" s="29">
        <v>1</v>
      </c>
    </row>
    <row r="186" spans="1:11" ht="45.75" customHeight="1" x14ac:dyDescent="0.2">
      <c r="A186" s="20">
        <f t="shared" si="2"/>
        <v>177</v>
      </c>
      <c r="B186" s="86" t="s">
        <v>447</v>
      </c>
      <c r="C186" s="86"/>
      <c r="D186" s="24" t="s">
        <v>490</v>
      </c>
      <c r="E186" s="25" t="s">
        <v>491</v>
      </c>
      <c r="F186" s="28"/>
      <c r="G186" s="28" t="s">
        <v>492</v>
      </c>
      <c r="H186" s="23"/>
      <c r="I186" s="29" t="s">
        <v>32</v>
      </c>
      <c r="J186" s="29">
        <v>1</v>
      </c>
      <c r="K186" s="29">
        <v>1</v>
      </c>
    </row>
    <row r="187" spans="1:11" ht="45.75" customHeight="1" x14ac:dyDescent="0.2">
      <c r="A187" s="20">
        <f t="shared" si="2"/>
        <v>178</v>
      </c>
      <c r="B187" s="86" t="s">
        <v>447</v>
      </c>
      <c r="C187" s="86"/>
      <c r="D187" s="24" t="s">
        <v>493</v>
      </c>
      <c r="E187" s="25" t="s">
        <v>494</v>
      </c>
      <c r="F187" s="28"/>
      <c r="G187" s="28" t="s">
        <v>495</v>
      </c>
      <c r="H187" s="23"/>
      <c r="I187" s="29" t="s">
        <v>32</v>
      </c>
      <c r="J187" s="29">
        <v>1</v>
      </c>
      <c r="K187" s="29">
        <v>1</v>
      </c>
    </row>
    <row r="188" spans="1:11" ht="25.5" customHeight="1" x14ac:dyDescent="0.2">
      <c r="A188" s="20">
        <f t="shared" si="2"/>
        <v>179</v>
      </c>
      <c r="B188" s="86" t="s">
        <v>447</v>
      </c>
      <c r="C188" s="86"/>
      <c r="D188" s="24" t="s">
        <v>496</v>
      </c>
      <c r="E188" s="25" t="s">
        <v>497</v>
      </c>
      <c r="F188" s="28"/>
      <c r="G188" s="28" t="s">
        <v>495</v>
      </c>
      <c r="H188" s="23"/>
      <c r="I188" s="29" t="s">
        <v>32</v>
      </c>
      <c r="J188" s="21">
        <v>1</v>
      </c>
      <c r="K188" s="29">
        <v>0.05</v>
      </c>
    </row>
    <row r="189" spans="1:11" ht="25.5" customHeight="1" x14ac:dyDescent="0.2">
      <c r="A189" s="20">
        <f t="shared" si="2"/>
        <v>180</v>
      </c>
      <c r="B189" s="86" t="s">
        <v>447</v>
      </c>
      <c r="C189" s="86"/>
      <c r="D189" s="24" t="s">
        <v>500</v>
      </c>
      <c r="E189" s="25" t="s">
        <v>501</v>
      </c>
      <c r="F189" s="28"/>
      <c r="G189" s="28" t="s">
        <v>456</v>
      </c>
      <c r="H189" s="23"/>
      <c r="I189" s="29" t="s">
        <v>32</v>
      </c>
      <c r="J189" s="21">
        <v>1</v>
      </c>
      <c r="K189" s="29">
        <v>1</v>
      </c>
    </row>
    <row r="190" spans="1:11" ht="18" customHeight="1" x14ac:dyDescent="0.2">
      <c r="A190" s="20">
        <f t="shared" si="2"/>
        <v>181</v>
      </c>
      <c r="B190" s="86" t="s">
        <v>447</v>
      </c>
      <c r="C190" s="86"/>
      <c r="D190" s="24" t="s">
        <v>502</v>
      </c>
      <c r="E190" s="25" t="s">
        <v>503</v>
      </c>
      <c r="F190" s="28"/>
      <c r="G190" s="28" t="s">
        <v>456</v>
      </c>
      <c r="H190" s="23"/>
      <c r="I190" s="29" t="s">
        <v>32</v>
      </c>
      <c r="J190" s="21">
        <v>1</v>
      </c>
      <c r="K190" s="29">
        <v>1</v>
      </c>
    </row>
    <row r="191" spans="1:11" ht="18" customHeight="1" x14ac:dyDescent="0.2">
      <c r="A191" s="20">
        <f t="shared" si="2"/>
        <v>182</v>
      </c>
      <c r="B191" s="86" t="s">
        <v>447</v>
      </c>
      <c r="C191" s="86"/>
      <c r="D191" s="24" t="s">
        <v>498</v>
      </c>
      <c r="E191" s="25" t="s">
        <v>499</v>
      </c>
      <c r="F191" s="28"/>
      <c r="G191" s="28" t="s">
        <v>741</v>
      </c>
      <c r="H191" s="23"/>
      <c r="I191" s="29" t="s">
        <v>32</v>
      </c>
      <c r="J191" s="21">
        <v>1</v>
      </c>
      <c r="K191" s="29">
        <v>1</v>
      </c>
    </row>
    <row r="192" spans="1:11" s="30" customFormat="1" ht="18" customHeight="1" x14ac:dyDescent="0.2">
      <c r="A192" s="20">
        <f t="shared" si="2"/>
        <v>183</v>
      </c>
      <c r="B192" s="86" t="s">
        <v>447</v>
      </c>
      <c r="C192" s="86"/>
      <c r="D192" s="24" t="s">
        <v>504</v>
      </c>
      <c r="E192" s="25" t="s">
        <v>505</v>
      </c>
      <c r="F192" s="28"/>
      <c r="G192" s="28" t="s">
        <v>506</v>
      </c>
      <c r="H192" s="23"/>
      <c r="I192" s="29" t="s">
        <v>32</v>
      </c>
      <c r="J192" s="21">
        <v>1</v>
      </c>
      <c r="K192" s="29">
        <v>2</v>
      </c>
    </row>
    <row r="193" spans="1:11" s="30" customFormat="1" ht="18" customHeight="1" x14ac:dyDescent="0.2">
      <c r="A193" s="20">
        <f t="shared" si="2"/>
        <v>184</v>
      </c>
      <c r="B193" s="86" t="s">
        <v>447</v>
      </c>
      <c r="C193" s="86"/>
      <c r="D193" s="24" t="s">
        <v>508</v>
      </c>
      <c r="E193" s="25" t="s">
        <v>509</v>
      </c>
      <c r="F193" s="28"/>
      <c r="G193" s="28" t="s">
        <v>509</v>
      </c>
      <c r="H193" s="23"/>
      <c r="I193" s="29" t="s">
        <v>510</v>
      </c>
      <c r="J193" s="21">
        <v>5</v>
      </c>
      <c r="K193" s="29">
        <v>1</v>
      </c>
    </row>
    <row r="194" spans="1:11" s="30" customFormat="1" ht="18" customHeight="1" x14ac:dyDescent="0.2">
      <c r="A194" s="20">
        <f t="shared" si="2"/>
        <v>185</v>
      </c>
      <c r="B194" s="86" t="s">
        <v>447</v>
      </c>
      <c r="C194" s="86"/>
      <c r="D194" s="24" t="s">
        <v>511</v>
      </c>
      <c r="E194" s="25" t="s">
        <v>512</v>
      </c>
      <c r="F194" s="28"/>
      <c r="G194" s="28" t="s">
        <v>742</v>
      </c>
      <c r="H194" s="23"/>
      <c r="I194" s="29" t="s">
        <v>32</v>
      </c>
      <c r="J194" s="21">
        <v>1</v>
      </c>
      <c r="K194" s="29">
        <v>1</v>
      </c>
    </row>
    <row r="195" spans="1:11" s="30" customFormat="1" ht="36" customHeight="1" x14ac:dyDescent="0.2">
      <c r="A195" s="20">
        <f t="shared" si="2"/>
        <v>186</v>
      </c>
      <c r="B195" s="86" t="s">
        <v>447</v>
      </c>
      <c r="C195" s="86"/>
      <c r="D195" s="24" t="s">
        <v>514</v>
      </c>
      <c r="E195" s="25" t="s">
        <v>515</v>
      </c>
      <c r="F195" s="28"/>
      <c r="G195" s="28" t="s">
        <v>516</v>
      </c>
      <c r="H195" s="23"/>
      <c r="I195" s="29" t="s">
        <v>32</v>
      </c>
      <c r="J195" s="21">
        <v>1</v>
      </c>
      <c r="K195" s="29">
        <v>1</v>
      </c>
    </row>
    <row r="196" spans="1:11" s="30" customFormat="1" ht="28.5" customHeight="1" x14ac:dyDescent="0.2">
      <c r="A196" s="20">
        <f t="shared" si="2"/>
        <v>187</v>
      </c>
      <c r="B196" s="86" t="s">
        <v>447</v>
      </c>
      <c r="C196" s="86"/>
      <c r="D196" s="24" t="s">
        <v>511</v>
      </c>
      <c r="E196" s="25" t="s">
        <v>512</v>
      </c>
      <c r="F196" s="28"/>
      <c r="G196" s="28" t="s">
        <v>513</v>
      </c>
      <c r="H196" s="23"/>
      <c r="I196" s="29" t="s">
        <v>32</v>
      </c>
      <c r="J196" s="29">
        <v>1</v>
      </c>
      <c r="K196" s="29">
        <v>1</v>
      </c>
    </row>
    <row r="197" spans="1:11" ht="43.5" customHeight="1" x14ac:dyDescent="0.2">
      <c r="A197" s="20">
        <f t="shared" si="2"/>
        <v>188</v>
      </c>
      <c r="B197" s="86" t="s">
        <v>447</v>
      </c>
      <c r="C197" s="86"/>
      <c r="D197" s="24" t="s">
        <v>514</v>
      </c>
      <c r="E197" s="25" t="s">
        <v>515</v>
      </c>
      <c r="F197" s="28"/>
      <c r="G197" s="28" t="s">
        <v>516</v>
      </c>
      <c r="H197" s="23"/>
      <c r="I197" s="29" t="s">
        <v>32</v>
      </c>
      <c r="J197" s="21">
        <v>1</v>
      </c>
      <c r="K197" s="31">
        <v>1</v>
      </c>
    </row>
    <row r="198" spans="1:11" ht="16.5" customHeight="1" x14ac:dyDescent="0.2">
      <c r="A198" s="109"/>
      <c r="B198" s="110"/>
      <c r="C198" s="110"/>
      <c r="D198" s="110"/>
      <c r="E198" s="110"/>
      <c r="F198" s="110"/>
      <c r="G198" s="110"/>
      <c r="H198" s="110"/>
      <c r="I198" s="110"/>
      <c r="J198" s="110"/>
      <c r="K198" s="111"/>
    </row>
    <row r="199" spans="1:11" s="4" customFormat="1" ht="32.25" customHeight="1" x14ac:dyDescent="0.2">
      <c r="A199" s="83" t="s">
        <v>8</v>
      </c>
      <c r="B199" s="84"/>
      <c r="C199" s="84"/>
      <c r="D199" s="85"/>
      <c r="E199" s="58" t="s">
        <v>9</v>
      </c>
      <c r="F199" s="7" t="s">
        <v>12</v>
      </c>
      <c r="G199" s="7" t="s">
        <v>14</v>
      </c>
      <c r="H199" s="83" t="s">
        <v>10</v>
      </c>
      <c r="I199" s="84"/>
      <c r="J199" s="84"/>
      <c r="K199" s="85"/>
    </row>
    <row r="200" spans="1:11" s="4" customFormat="1" ht="28.5" customHeight="1" x14ac:dyDescent="0.2">
      <c r="A200" s="68" t="s">
        <v>89</v>
      </c>
      <c r="B200" s="69"/>
      <c r="C200" s="69"/>
      <c r="D200" s="70"/>
      <c r="E200" s="59"/>
      <c r="F200" s="3">
        <v>17</v>
      </c>
      <c r="G200" s="3"/>
      <c r="H200" s="73">
        <v>42381</v>
      </c>
      <c r="I200" s="90"/>
      <c r="J200" s="90"/>
      <c r="K200" s="74"/>
    </row>
    <row r="201" spans="1:11" s="4" customFormat="1" ht="27" customHeight="1" x14ac:dyDescent="0.2">
      <c r="A201" s="118"/>
      <c r="B201" s="119"/>
      <c r="C201" s="119"/>
      <c r="D201" s="120"/>
      <c r="E201" s="60"/>
      <c r="F201" s="3"/>
      <c r="G201" s="3"/>
      <c r="H201" s="73"/>
      <c r="I201" s="90"/>
      <c r="J201" s="90"/>
      <c r="K201" s="74"/>
    </row>
    <row r="202" spans="1:11" s="4" customFormat="1" ht="28.5" customHeight="1" x14ac:dyDescent="0.2">
      <c r="A202" s="121" t="s">
        <v>11</v>
      </c>
      <c r="B202" s="121"/>
      <c r="C202" s="121"/>
      <c r="D202" s="121"/>
      <c r="E202" s="121"/>
      <c r="F202" s="121"/>
      <c r="G202" s="121"/>
      <c r="H202" s="121"/>
      <c r="I202" s="121"/>
      <c r="J202" s="121"/>
      <c r="K202" s="121"/>
    </row>
    <row r="203" spans="1:11" s="4" customFormat="1" ht="28.5" customHeight="1" x14ac:dyDescent="0.2">
      <c r="A203" s="115" t="s">
        <v>12</v>
      </c>
      <c r="B203" s="91"/>
      <c r="C203" s="91"/>
      <c r="D203" s="92"/>
      <c r="E203" s="91"/>
      <c r="F203" s="92"/>
      <c r="G203" s="11" t="s">
        <v>45</v>
      </c>
      <c r="H203" s="93" t="s">
        <v>46</v>
      </c>
      <c r="I203" s="93"/>
      <c r="J203" s="94" t="s">
        <v>125</v>
      </c>
      <c r="K203" s="94"/>
    </row>
    <row r="204" spans="1:11" s="4" customFormat="1" ht="34.5" customHeight="1" x14ac:dyDescent="0.2">
      <c r="A204" s="68">
        <v>0</v>
      </c>
      <c r="B204" s="69"/>
      <c r="C204" s="69"/>
      <c r="D204" s="70"/>
      <c r="E204" s="71" t="s">
        <v>445</v>
      </c>
      <c r="F204" s="72"/>
      <c r="G204" s="13"/>
      <c r="H204" s="64">
        <v>42050</v>
      </c>
      <c r="I204" s="64"/>
      <c r="J204" s="67"/>
      <c r="K204" s="66"/>
    </row>
    <row r="205" spans="1:11" s="4" customFormat="1" ht="79.5" customHeight="1" x14ac:dyDescent="0.2">
      <c r="A205" s="68">
        <v>1</v>
      </c>
      <c r="B205" s="69"/>
      <c r="C205" s="69"/>
      <c r="D205" s="70"/>
      <c r="E205" s="71" t="s">
        <v>446</v>
      </c>
      <c r="F205" s="72"/>
      <c r="G205" s="13"/>
      <c r="H205" s="64">
        <v>42054</v>
      </c>
      <c r="I205" s="64"/>
      <c r="J205" s="67"/>
      <c r="K205" s="66"/>
    </row>
    <row r="206" spans="1:11" s="4" customFormat="1" ht="32.25" customHeight="1" x14ac:dyDescent="0.2">
      <c r="A206" s="68">
        <v>2</v>
      </c>
      <c r="B206" s="69"/>
      <c r="C206" s="69"/>
      <c r="D206" s="70"/>
      <c r="E206" s="71" t="s">
        <v>517</v>
      </c>
      <c r="F206" s="72"/>
      <c r="G206" s="26"/>
      <c r="H206" s="64">
        <v>42058</v>
      </c>
      <c r="I206" s="64"/>
      <c r="J206" s="67"/>
      <c r="K206" s="66"/>
    </row>
    <row r="207" spans="1:11" s="4" customFormat="1" ht="32.25" customHeight="1" x14ac:dyDescent="0.2">
      <c r="A207" s="68">
        <v>3</v>
      </c>
      <c r="B207" s="69"/>
      <c r="C207" s="69"/>
      <c r="D207" s="70"/>
      <c r="E207" s="71" t="s">
        <v>527</v>
      </c>
      <c r="F207" s="72"/>
      <c r="G207" s="27"/>
      <c r="H207" s="64">
        <v>42064</v>
      </c>
      <c r="I207" s="64"/>
      <c r="J207" s="67"/>
      <c r="K207" s="66"/>
    </row>
    <row r="208" spans="1:11" s="4" customFormat="1" ht="81" customHeight="1" x14ac:dyDescent="0.2">
      <c r="A208" s="68">
        <v>4</v>
      </c>
      <c r="B208" s="69"/>
      <c r="C208" s="69"/>
      <c r="D208" s="70"/>
      <c r="E208" s="116" t="s">
        <v>565</v>
      </c>
      <c r="F208" s="117"/>
      <c r="G208" s="32"/>
      <c r="H208" s="64">
        <v>42087</v>
      </c>
      <c r="I208" s="64"/>
      <c r="J208" s="67"/>
      <c r="K208" s="66"/>
    </row>
    <row r="209" spans="1:13" s="4" customFormat="1" ht="27" customHeight="1" x14ac:dyDescent="0.2">
      <c r="A209" s="68">
        <v>5</v>
      </c>
      <c r="B209" s="69"/>
      <c r="C209" s="69"/>
      <c r="D209" s="70"/>
      <c r="E209" s="71" t="s">
        <v>569</v>
      </c>
      <c r="F209" s="72"/>
      <c r="G209" s="35"/>
      <c r="H209" s="64">
        <v>42096</v>
      </c>
      <c r="I209" s="64"/>
      <c r="J209" s="67"/>
      <c r="K209" s="66"/>
    </row>
    <row r="210" spans="1:13" ht="28.5" customHeight="1" x14ac:dyDescent="0.2">
      <c r="A210" s="68">
        <v>6</v>
      </c>
      <c r="B210" s="69"/>
      <c r="C210" s="69"/>
      <c r="D210" s="70"/>
      <c r="E210" s="71" t="s">
        <v>573</v>
      </c>
      <c r="F210" s="72"/>
      <c r="G210" s="40">
        <v>42108</v>
      </c>
      <c r="H210" s="64">
        <v>42108</v>
      </c>
      <c r="I210" s="64"/>
      <c r="J210" s="67"/>
      <c r="K210" s="66"/>
    </row>
    <row r="211" spans="1:13" ht="28.5" customHeight="1" x14ac:dyDescent="0.2">
      <c r="A211" s="68">
        <v>7</v>
      </c>
      <c r="B211" s="69"/>
      <c r="C211" s="69"/>
      <c r="D211" s="70"/>
      <c r="E211" s="71" t="s">
        <v>576</v>
      </c>
      <c r="F211" s="72"/>
      <c r="G211" s="41">
        <v>42123</v>
      </c>
      <c r="H211" s="64">
        <v>42123</v>
      </c>
      <c r="I211" s="64"/>
      <c r="J211" s="67"/>
      <c r="K211" s="66"/>
    </row>
    <row r="212" spans="1:13" ht="28.5" customHeight="1" x14ac:dyDescent="0.2">
      <c r="A212" s="68">
        <v>8</v>
      </c>
      <c r="B212" s="69"/>
      <c r="C212" s="69"/>
      <c r="D212" s="70"/>
      <c r="E212" s="71" t="s">
        <v>579</v>
      </c>
      <c r="F212" s="72"/>
      <c r="G212" s="42">
        <v>42141</v>
      </c>
      <c r="H212" s="64">
        <v>42141</v>
      </c>
      <c r="I212" s="64"/>
      <c r="J212" s="67"/>
      <c r="K212" s="66"/>
    </row>
    <row r="213" spans="1:13" ht="73.5" customHeight="1" x14ac:dyDescent="0.2">
      <c r="A213" s="68">
        <v>9</v>
      </c>
      <c r="B213" s="69"/>
      <c r="C213" s="69"/>
      <c r="D213" s="70"/>
      <c r="E213" s="116" t="s">
        <v>744</v>
      </c>
      <c r="F213" s="117"/>
      <c r="G213" s="47">
        <v>42152</v>
      </c>
      <c r="H213" s="64">
        <v>42156</v>
      </c>
      <c r="I213" s="64"/>
      <c r="J213" s="67" t="s">
        <v>594</v>
      </c>
      <c r="K213" s="66"/>
      <c r="L213" s="48"/>
      <c r="M213" s="48"/>
    </row>
    <row r="214" spans="1:13" ht="23.25" customHeight="1" x14ac:dyDescent="0.2">
      <c r="A214" s="68">
        <v>10</v>
      </c>
      <c r="B214" s="69"/>
      <c r="C214" s="69"/>
      <c r="D214" s="70"/>
      <c r="E214" s="71" t="s">
        <v>601</v>
      </c>
      <c r="F214" s="72"/>
      <c r="G214" s="49">
        <v>42187</v>
      </c>
      <c r="H214" s="64">
        <v>42187</v>
      </c>
      <c r="I214" s="64"/>
      <c r="J214" s="65" t="s">
        <v>594</v>
      </c>
      <c r="K214" s="66"/>
      <c r="L214" s="48"/>
      <c r="M214" s="48"/>
    </row>
    <row r="215" spans="1:13" ht="33.75" customHeight="1" x14ac:dyDescent="0.2">
      <c r="A215" s="68">
        <v>11</v>
      </c>
      <c r="B215" s="69"/>
      <c r="C215" s="69"/>
      <c r="D215" s="70"/>
      <c r="E215" s="71" t="s">
        <v>603</v>
      </c>
      <c r="F215" s="72"/>
      <c r="G215" s="52">
        <v>42208</v>
      </c>
      <c r="H215" s="64">
        <v>42208</v>
      </c>
      <c r="I215" s="64"/>
      <c r="J215" s="73"/>
      <c r="K215" s="74"/>
      <c r="L215" s="48"/>
      <c r="M215" s="48"/>
    </row>
    <row r="216" spans="1:13" ht="33.75" customHeight="1" x14ac:dyDescent="0.2">
      <c r="A216" s="68">
        <v>12</v>
      </c>
      <c r="B216" s="69"/>
      <c r="C216" s="69"/>
      <c r="D216" s="70"/>
      <c r="E216" s="71" t="s">
        <v>606</v>
      </c>
      <c r="F216" s="72"/>
      <c r="G216" s="53">
        <v>42246</v>
      </c>
      <c r="H216" s="64">
        <v>42246</v>
      </c>
      <c r="I216" s="64"/>
      <c r="J216" s="73"/>
      <c r="K216" s="74"/>
      <c r="L216" s="48"/>
      <c r="M216" s="48"/>
    </row>
    <row r="217" spans="1:13" ht="33.75" customHeight="1" x14ac:dyDescent="0.2">
      <c r="A217" s="68">
        <v>13</v>
      </c>
      <c r="B217" s="69"/>
      <c r="C217" s="69"/>
      <c r="D217" s="70"/>
      <c r="E217" s="71" t="s">
        <v>618</v>
      </c>
      <c r="F217" s="72"/>
      <c r="G217" s="54">
        <v>42269</v>
      </c>
      <c r="H217" s="64">
        <v>42269</v>
      </c>
      <c r="I217" s="64"/>
      <c r="J217" s="73"/>
      <c r="K217" s="74"/>
      <c r="L217" s="48"/>
      <c r="M217" s="48"/>
    </row>
    <row r="218" spans="1:13" ht="33.75" customHeight="1" x14ac:dyDescent="0.2">
      <c r="A218" s="68">
        <v>14</v>
      </c>
      <c r="B218" s="69"/>
      <c r="C218" s="69"/>
      <c r="D218" s="70"/>
      <c r="E218" s="71" t="s">
        <v>623</v>
      </c>
      <c r="F218" s="72"/>
      <c r="G218" s="55">
        <v>42310</v>
      </c>
      <c r="H218" s="64">
        <v>42310</v>
      </c>
      <c r="I218" s="64"/>
      <c r="J218" s="73"/>
      <c r="K218" s="74"/>
      <c r="L218" s="48"/>
      <c r="M218" s="48"/>
    </row>
    <row r="219" spans="1:13" ht="33.75" customHeight="1" x14ac:dyDescent="0.2">
      <c r="A219" s="68">
        <v>15</v>
      </c>
      <c r="B219" s="69"/>
      <c r="C219" s="69"/>
      <c r="D219" s="70"/>
      <c r="E219" s="71" t="s">
        <v>627</v>
      </c>
      <c r="F219" s="72"/>
      <c r="G219" s="56">
        <v>42313</v>
      </c>
      <c r="H219" s="64">
        <v>42313</v>
      </c>
      <c r="I219" s="64"/>
      <c r="J219" s="73"/>
      <c r="K219" s="74"/>
      <c r="L219" s="48"/>
      <c r="M219" s="48"/>
    </row>
    <row r="220" spans="1:13" ht="33.75" customHeight="1" x14ac:dyDescent="0.2">
      <c r="A220" s="68">
        <v>16</v>
      </c>
      <c r="B220" s="69"/>
      <c r="C220" s="69"/>
      <c r="D220" s="70"/>
      <c r="E220" s="71" t="s">
        <v>629</v>
      </c>
      <c r="F220" s="72"/>
      <c r="G220" s="57">
        <v>42360</v>
      </c>
      <c r="H220" s="64">
        <v>42360</v>
      </c>
      <c r="I220" s="64"/>
      <c r="J220" s="73" t="s">
        <v>630</v>
      </c>
      <c r="K220" s="74"/>
      <c r="L220" s="48"/>
      <c r="M220" s="48"/>
    </row>
    <row r="221" spans="1:13" ht="33.75" customHeight="1" x14ac:dyDescent="0.2">
      <c r="A221" s="68">
        <v>17</v>
      </c>
      <c r="B221" s="69"/>
      <c r="C221" s="69"/>
      <c r="D221" s="70"/>
      <c r="E221" s="71" t="s">
        <v>745</v>
      </c>
      <c r="F221" s="72"/>
      <c r="G221" s="62">
        <v>42381</v>
      </c>
      <c r="H221" s="64">
        <v>42381</v>
      </c>
      <c r="I221" s="64"/>
      <c r="J221" s="73" t="s">
        <v>746</v>
      </c>
      <c r="K221" s="74"/>
      <c r="L221" s="48"/>
      <c r="M221" s="48"/>
    </row>
  </sheetData>
  <mergeCells count="133">
    <mergeCell ref="A212:D212"/>
    <mergeCell ref="A216:D216"/>
    <mergeCell ref="A213:D213"/>
    <mergeCell ref="E213:F213"/>
    <mergeCell ref="E214:F214"/>
    <mergeCell ref="E215:F215"/>
    <mergeCell ref="E216:F216"/>
    <mergeCell ref="E217:F217"/>
    <mergeCell ref="A219:D219"/>
    <mergeCell ref="A218:D218"/>
    <mergeCell ref="A214:D214"/>
    <mergeCell ref="E218:F218"/>
    <mergeCell ref="E219:F219"/>
    <mergeCell ref="E212:F212"/>
    <mergeCell ref="A217:D217"/>
    <mergeCell ref="A211:D211"/>
    <mergeCell ref="A210:D210"/>
    <mergeCell ref="A207:D207"/>
    <mergeCell ref="A206:D206"/>
    <mergeCell ref="A209:D209"/>
    <mergeCell ref="A205:D205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G1:K4"/>
    <mergeCell ref="E5:F6"/>
    <mergeCell ref="A1:D4"/>
    <mergeCell ref="E1:F4"/>
    <mergeCell ref="A198:K198"/>
    <mergeCell ref="B161:C161"/>
    <mergeCell ref="B162:C162"/>
    <mergeCell ref="B163:C163"/>
    <mergeCell ref="B164:C164"/>
    <mergeCell ref="B165:C165"/>
    <mergeCell ref="B166:C166"/>
    <mergeCell ref="B167:C167"/>
    <mergeCell ref="B180:C180"/>
    <mergeCell ref="B181:C181"/>
    <mergeCell ref="B182:C182"/>
    <mergeCell ref="B184:C184"/>
    <mergeCell ref="B191:C191"/>
    <mergeCell ref="B192:C192"/>
    <mergeCell ref="A5:D5"/>
    <mergeCell ref="G7:K7"/>
    <mergeCell ref="B168:C168"/>
    <mergeCell ref="B185:C185"/>
    <mergeCell ref="B186:C186"/>
    <mergeCell ref="B188:C188"/>
    <mergeCell ref="B196:C196"/>
    <mergeCell ref="B197:C197"/>
    <mergeCell ref="H199:K199"/>
    <mergeCell ref="H200:K200"/>
    <mergeCell ref="A208:D208"/>
    <mergeCell ref="E203:F203"/>
    <mergeCell ref="H201:K201"/>
    <mergeCell ref="B171:C171"/>
    <mergeCell ref="H203:I203"/>
    <mergeCell ref="J203:K203"/>
    <mergeCell ref="A204:D204"/>
    <mergeCell ref="A203:D203"/>
    <mergeCell ref="A201:D201"/>
    <mergeCell ref="A200:D200"/>
    <mergeCell ref="A202:K202"/>
    <mergeCell ref="G5:K5"/>
    <mergeCell ref="G6:K6"/>
    <mergeCell ref="E7:F7"/>
    <mergeCell ref="A7:D7"/>
    <mergeCell ref="A8:K8"/>
    <mergeCell ref="A199:D199"/>
    <mergeCell ref="B173:C173"/>
    <mergeCell ref="B174:C174"/>
    <mergeCell ref="B175:C175"/>
    <mergeCell ref="B177:C177"/>
    <mergeCell ref="B178:C178"/>
    <mergeCell ref="B176:C176"/>
    <mergeCell ref="B179:C179"/>
    <mergeCell ref="B193:C193"/>
    <mergeCell ref="B187:C187"/>
    <mergeCell ref="B169:C169"/>
    <mergeCell ref="B170:C170"/>
    <mergeCell ref="B172:C172"/>
    <mergeCell ref="B189:C189"/>
    <mergeCell ref="B190:C190"/>
    <mergeCell ref="B183:C183"/>
    <mergeCell ref="A6:D6"/>
    <mergeCell ref="B194:C194"/>
    <mergeCell ref="B195:C195"/>
    <mergeCell ref="A221:D221"/>
    <mergeCell ref="E221:F221"/>
    <mergeCell ref="H221:I221"/>
    <mergeCell ref="J221:K221"/>
    <mergeCell ref="H219:I219"/>
    <mergeCell ref="J219:K219"/>
    <mergeCell ref="H215:I215"/>
    <mergeCell ref="J215:K215"/>
    <mergeCell ref="H216:I216"/>
    <mergeCell ref="J216:K216"/>
    <mergeCell ref="H217:I217"/>
    <mergeCell ref="J217:K217"/>
    <mergeCell ref="H218:I218"/>
    <mergeCell ref="J218:K218"/>
    <mergeCell ref="A220:D220"/>
    <mergeCell ref="H220:I220"/>
    <mergeCell ref="J220:K220"/>
    <mergeCell ref="A215:D215"/>
    <mergeCell ref="E220:F220"/>
    <mergeCell ref="H214:I214"/>
    <mergeCell ref="J214:K214"/>
    <mergeCell ref="J213:K213"/>
    <mergeCell ref="H213:I213"/>
    <mergeCell ref="H204:I204"/>
    <mergeCell ref="J204:K204"/>
    <mergeCell ref="H205:I205"/>
    <mergeCell ref="J205:K205"/>
    <mergeCell ref="H206:I206"/>
    <mergeCell ref="J206:K206"/>
    <mergeCell ref="H207:I207"/>
    <mergeCell ref="J207:K207"/>
    <mergeCell ref="H208:I208"/>
    <mergeCell ref="J208:K208"/>
    <mergeCell ref="H209:I209"/>
    <mergeCell ref="J209:K209"/>
    <mergeCell ref="H210:I210"/>
    <mergeCell ref="J210:K210"/>
    <mergeCell ref="H211:I211"/>
    <mergeCell ref="J211:K211"/>
    <mergeCell ref="H212:I212"/>
    <mergeCell ref="J212:K212"/>
  </mergeCells>
  <phoneticPr fontId="3" type="noConversion"/>
  <printOptions horizontalCentered="1"/>
  <pageMargins left="3.937007874015748E-2" right="3.937007874015748E-2" top="3.937007874015748E-2" bottom="3.937007874015748E-2" header="0.27559055118110237" footer="0.27559055118110237"/>
  <pageSetup scale="15" orientation="landscape" verticalDpi="300" r:id="rId1"/>
  <headerFooter alignWithMargins="0">
    <oddHeader>&amp;C</oddHeader>
    <oddFooter>&amp;C&amp;22Page &amp;P of &amp;N</oddFooter>
  </headerFooter>
  <rowBreaks count="2" manualBreakCount="2">
    <brk id="75" max="10" man="1"/>
    <brk id="147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Production_Materials</vt:lpstr>
      <vt:lpstr>BOM</vt:lpstr>
      <vt:lpstr>BOM!Print_Area</vt:lpstr>
      <vt:lpstr>BOM!Print_Titles</vt:lpstr>
    </vt:vector>
  </TitlesOfParts>
  <Company>ems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mamin</dc:creator>
  <cp:lastModifiedBy>Emad</cp:lastModifiedBy>
  <cp:lastPrinted>2016-01-12T11:46:27Z</cp:lastPrinted>
  <dcterms:created xsi:type="dcterms:W3CDTF">2007-09-02T12:45:42Z</dcterms:created>
  <dcterms:modified xsi:type="dcterms:W3CDTF">2016-03-19T21:43:02Z</dcterms:modified>
</cp:coreProperties>
</file>